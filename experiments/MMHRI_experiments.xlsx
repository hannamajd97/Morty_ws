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riments" sheetId="1" state="visible" r:id="rId2"/>
    <sheet name="Stage times" sheetId="2" state="visible" r:id="rId3"/>
    <sheet name="Conversation" sheetId="3" state="visible" r:id="rId4"/>
    <sheet name="VLA instructions" sheetId="4" state="visible" r:id="rId5"/>
    <sheet name="Summary" sheetId="5" state="visible" r:id="rId6"/>
    <sheet name="Definitions" sheetId="6" state="visible" r:id="rId7"/>
    <sheet name="_trials" sheetId="7" state="hidden" r:id="rId8"/>
  </sheets>
  <definedNames>
    <definedName function="false" hidden="true" localSheetId="2" name="_xlnm._FilterDatabase" vbProcedure="false">Conversation!$A$1:$E$488</definedName>
    <definedName function="false" hidden="true" localSheetId="0" name="_xlnm._FilterDatabase" vbProcedure="false">Experiments!$A$1:$AI$39</definedName>
    <definedName function="false" hidden="true" localSheetId="1" name="_xlnm._FilterDatabase" vbProcedure="false">'Stage times'!$A$2:$AI$41</definedName>
    <definedName function="false" hidden="true" localSheetId="3" name="_xlnm._FilterDatabase" vbProcedure="false">'VLA instructions'!$A$1:$I$96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R1" authorId="0">
      <text>
        <r>
          <rPr>
            <sz val="11"/>
            <color rgb="FF000000"/>
            <rFont val="Calibri"/>
            <family val="2"/>
            <charset val="1"/>
          </rPr>
          <t xml:space="preserve"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      </r>
      </text>
    </comment>
    <comment ref="S1" authorId="0">
      <text>
        <r>
          <rPr>
            <sz val="11"/>
            <color rgb="FF000000"/>
            <rFont val="Calibri"/>
            <family val="2"/>
            <charset val="1"/>
          </rPr>
          <t xml:space="preserve">From the first command (or the pointing choice) to the end of the robot's cycle (back home).</t>
        </r>
      </text>
    </comment>
    <comment ref="U1" authorId="0">
      <text>
        <r>
          <rPr>
            <sz val="11"/>
            <color rgb="FF000000"/>
            <rFont val="Calibri"/>
            <family val="2"/>
            <charset val="1"/>
          </rPr>
          <t xml:space="preserve">voice = the task began with a spoken command; pointing/click = the object was chosen by pointing or a click before anything was said.</t>
        </r>
      </text>
    </comment>
    <comment ref="V1" authorId="0">
      <text>
        <r>
          <rPr>
            <sz val="11"/>
            <color rgb="FF000000"/>
            <rFont val="Calibri"/>
            <family val="2"/>
            <charset val="1"/>
          </rPr>
          <t xml:space="preserve">instant rule = the fixed phrase layer (about 0.01 s); language model = Claude (about 1 s).</t>
        </r>
      </text>
    </comment>
    <comment ref="W1" authorId="0">
      <text>
        <r>
          <rPr>
            <sz val="11"/>
            <color rgb="FF000000"/>
            <rFont val="Calibri"/>
            <family val="2"/>
            <charset val="1"/>
          </rPr>
          <t xml:space="preserve">yes = GraspGen had already computed this object's grasps before the command (precompute); no = it ran after the command, and the operator waited for it.</t>
        </r>
      </text>
    </comment>
    <comment ref="X1" authorId="0">
      <text>
        <r>
          <rPr>
            <sz val="11"/>
            <color rgb="FF000000"/>
            <rFont val="Calibri"/>
            <family val="2"/>
            <charset val="1"/>
          </rPr>
          <t xml:space="preserve">How the approach was planned: curve = the smooth approach path (bend + straight slide); lines = blended straight-line segments, the fallback.</t>
        </r>
      </text>
    </comment>
    <comment ref="Y1" authorId="0">
      <text>
        <r>
          <rPr>
            <sz val="11"/>
            <color rgb="FF000000"/>
            <rFont val="Calibri"/>
            <family val="2"/>
            <charset val="1"/>
          </rPr>
          <t xml:space="preserve">yes = the executor had already verified this grasp could be reached (precheck hit), so it moved at once; no = it checked after the candidates arrived (precheck miss) and the operator waited for it.</t>
        </r>
      </text>
    </comment>
    <comment ref="Z1" authorId="0">
      <text>
        <r>
          <rPr>
            <sz val="11"/>
            <color rgb="FF000000"/>
            <rFont val="Calibri"/>
            <family val="2"/>
            <charset val="1"/>
          </rPr>
          <t xml:space="preserve">Which of the GraspGen candidates was executed ('1 of 26' = the best-ranked one).</t>
        </r>
      </text>
    </comment>
    <comment ref="AA1" authorId="0">
      <text>
        <r>
          <rPr>
            <sz val="11"/>
            <color rgb="FF000000"/>
            <rFont val="Calibri"/>
            <family val="2"/>
            <charset val="1"/>
          </rPr>
          <t xml:space="preserve">The command given → the gripper opened at the destination.</t>
        </r>
      </text>
    </comment>
    <comment ref="AB1" authorId="0">
      <text>
        <r>
          <rPr>
            <sz val="11"/>
            <color rgb="FF000000"/>
            <rFont val="Calibri"/>
            <family val="2"/>
            <charset val="1"/>
          </rPr>
          <t xml:space="preserve">Time Morty waited for the operator: at 'Where should I drop it?', 'Should I open the gripper?' and 'Should I go back home?'.</t>
        </r>
      </text>
    </comment>
    <comment ref="AC1" authorId="0">
      <text>
        <r>
          <rPr>
            <sz val="11"/>
            <color rgb="FF000000"/>
            <rFont val="Calibri"/>
            <family val="2"/>
            <charset val="1"/>
          </rPr>
          <t xml:space="preserve">Total time minus the time Morty waited for the operator.</t>
        </r>
      </text>
    </comment>
    <comment ref="AD1" authorId="0">
      <text>
        <r>
          <rPr>
            <sz val="11"/>
            <color rgb="FF000000"/>
            <rFont val="Calibri"/>
            <family val="2"/>
            <charset val="1"/>
          </rPr>
          <t xml:space="preserve">final = rebuilt from exact event times after the trial (the messages' own stamps, else the earliest recorder); preliminary = the window's own times at ⏹ (can be late under load).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2" authorId="0">
      <text>
        <r>
          <rPr>
            <sz val="11"/>
            <color rgb="FF000000"/>
            <rFont val="Calibri"/>
            <family val="2"/>
            <charset val="1"/>
          </rPr>
          <t xml:space="preserve">voice = the task began with a spoken command; pointing/click = the object was chosen by pointing or a click before anything was said.</t>
        </r>
      </text>
    </comment>
    <comment ref="F2" authorId="0">
      <text>
        <r>
          <rPr>
            <sz val="11"/>
            <color rgb="FF000000"/>
            <rFont val="Calibri"/>
            <family val="2"/>
            <charset val="1"/>
          </rPr>
          <t xml:space="preserve">The end-of-speech wait (0.5-0.8 s, to be sure you finished) plus speech recognition.</t>
        </r>
      </text>
    </comment>
    <comment ref="G2" authorId="0">
      <text>
        <r>
          <rPr>
            <sz val="11"/>
            <color rgb="FF000000"/>
            <rFont val="Calibri"/>
            <family val="2"/>
            <charset val="1"/>
          </rPr>
          <t xml:space="preserve">The end of the operator's voice → the robot command for that sentence.</t>
        </r>
      </text>
    </comment>
    <comment ref="H2" authorId="0">
      <text>
        <r>
          <rPr>
            <sz val="11"/>
            <color rgb="FF000000"/>
            <rFont val="Calibri"/>
            <family val="2"/>
            <charset val="1"/>
          </rPr>
          <t xml:space="preserve">The accepted transcript that caused the command → the command.</t>
        </r>
      </text>
    </comment>
    <comment ref="I2" authorId="0">
      <text>
        <r>
          <rPr>
            <sz val="11"/>
            <color rgb="FF000000"/>
            <rFont val="Calibri"/>
            <family val="2"/>
            <charset val="1"/>
          </rPr>
          <t xml:space="preserve">instant rule = the fixed phrase layer (about 0.01 s); language model = Claude (about 1 s).</t>
        </r>
      </text>
    </comment>
    <comment ref="J2" authorId="0">
      <text>
        <r>
          <rPr>
            <sz val="11"/>
            <color rgb="FF000000"/>
            <rFont val="Calibri"/>
            <family val="2"/>
            <charset val="1"/>
          </rPr>
          <t xml:space="preserve">The first command → the pipeline committing the object. Includes a clarification dialogue ('which one?') or the pointing, and handing the object's name to the pipeline.</t>
        </r>
      </text>
    </comment>
    <comment ref="K2" authorId="0">
      <text>
        <r>
          <rPr>
            <sz val="11"/>
            <color rgb="FF000000"/>
            <rFont val="Calibri"/>
            <family val="2"/>
            <charset val="1"/>
          </rPr>
          <t xml:space="preserve">The committed choice → grasp candidates published (capture, segmentation, the stored-grasp lookup, or GraspGen when nothing was stored).</t>
        </r>
      </text>
    </comment>
    <comment ref="L2" authorId="0">
      <text>
        <r>
          <rPr>
            <sz val="11"/>
            <color rgb="FF000000"/>
            <rFont val="Calibri"/>
            <family val="2"/>
            <charset val="1"/>
          </rPr>
          <t xml:space="preserve">yes = GraspGen had already computed this object's grasps before the command (precompute); no = it ran after the command, and the operator waited for it.</t>
        </r>
      </text>
    </comment>
    <comment ref="M2" authorId="0">
      <text>
        <r>
          <rPr>
            <sz val="11"/>
            <color rgb="FF000000"/>
            <rFont val="Calibri"/>
            <family val="2"/>
            <charset val="1"/>
          </rPr>
          <t xml:space="preserve">Duration of the GraspGen run whose grasps the robot executed.</t>
        </r>
      </text>
    </comment>
    <comment ref="N2" authorId="0">
      <text>
        <r>
          <rPr>
            <sz val="11"/>
            <color rgb="FF000000"/>
            <rFont val="Calibri"/>
            <family val="2"/>
            <charset val="1"/>
          </rPr>
          <t xml:space="preserve">How much of that run the operator actually waited for (0 = ready before).</t>
        </r>
      </text>
    </comment>
    <comment ref="O2" authorId="0">
      <text>
        <r>
          <rPr>
            <sz val="11"/>
            <color rgb="FF000000"/>
            <rFont val="Calibri"/>
            <family val="2"/>
            <charset val="1"/>
          </rPr>
          <t xml:space="preserve">How long before the choice the grasps were ready.</t>
        </r>
      </text>
    </comment>
    <comment ref="P2" authorId="0">
      <text>
        <r>
          <rPr>
            <sz val="11"/>
            <color rgb="FF000000"/>
            <rFont val="Calibri"/>
            <family val="2"/>
            <charset val="1"/>
          </rPr>
          <t xml:space="preserve">How the approach was planned: curve = the smooth approach path (bend + straight slide); lines = blended straight-line segments, the fallback.</t>
        </r>
      </text>
    </comment>
    <comment ref="Q2" authorId="0">
      <text>
        <r>
          <rPr>
            <sz val="11"/>
            <color rgb="FF000000"/>
            <rFont val="Calibri"/>
            <family val="2"/>
            <charset val="1"/>
          </rPr>
          <t xml:space="preserve">yes = the executor had already verified this grasp could be reached (precheck hit), so it moved at once; no = it checked after the candidates arrived (precheck miss) and the operator waited for it.</t>
        </r>
      </text>
    </comment>
    <comment ref="R2" authorId="0">
      <text>
        <r>
          <rPr>
            <sz val="11"/>
            <color rgb="FF000000"/>
            <rFont val="Calibri"/>
            <family val="2"/>
            <charset val="1"/>
          </rPr>
          <t xml:space="preserve">Time to verify the plan: the background probe (when checked in the background) or the probe after the candidates arrived.</t>
        </r>
      </text>
    </commen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What the operator actually waited in the executor, from the candidates to moving.</t>
        </r>
      </text>
    </comment>
    <comment ref="T2" authorId="0">
      <text>
        <r>
          <rPr>
            <sz val="11"/>
            <color rgb="FF000000"/>
            <rFont val="Calibri"/>
            <family val="2"/>
            <charset val="1"/>
          </rPr>
          <t xml:space="preserve">Which of the GraspGen candidates was executed ('1 of 26' = the best-ranked one).</t>
        </r>
      </text>
    </comment>
    <comment ref="U2" authorId="0">
      <text>
        <r>
          <rPr>
            <sz val="11"/>
            <color rgb="FF000000"/>
            <rFont val="Calibri"/>
            <family val="2"/>
            <charset val="1"/>
          </rPr>
          <t xml:space="preserve">How many candidates the executor probed before executing one.</t>
        </r>
      </text>
    </comment>
    <comment ref="AA2" authorId="0">
      <text>
        <r>
          <rPr>
            <sz val="11"/>
            <color rgb="FF000000"/>
            <rFont val="Calibri"/>
            <family val="2"/>
            <charset val="1"/>
          </rPr>
          <t xml:space="preserve">The command given → the gripper opened at the destination.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Time Morty waited for the operator: at 'Where should I drop it?', 'Should I open the gripper?' and 'Should I go back home?'.</t>
        </r>
      </text>
    </comment>
    <comment ref="AC2" authorId="0">
      <text>
        <r>
          <rPr>
            <sz val="11"/>
            <color rgb="FF000000"/>
            <rFont val="Calibri"/>
            <family val="2"/>
            <charset val="1"/>
          </rPr>
          <t xml:space="preserve">Total time minus the time Morty waited for the operator.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final = rebuilt from exact event times after the trial (the messages' own stamps, else the earliest recorder); preliminary = the window's own times at ⏹ (can be late under load).</t>
        </r>
      </text>
    </comment>
  </commentList>
</comments>
</file>

<file path=xl/sharedStrings.xml><?xml version="1.0" encoding="utf-8"?>
<sst xmlns="http://schemas.openxmlformats.org/spreadsheetml/2006/main" count="3921" uniqueCount="627">
  <si>
    <t xml:space="preserve">Trial ID</t>
  </si>
  <si>
    <t xml:space="preserve">Date</t>
  </si>
  <si>
    <t xml:space="preserve">Task ID</t>
  </si>
  <si>
    <t xml:space="preserve">Scene Layout</t>
  </si>
  <si>
    <t xml:space="preserve">Scenario ID</t>
  </si>
  <si>
    <t xml:space="preserve">Scenario</t>
  </si>
  <si>
    <t xml:space="preserve">Level</t>
  </si>
  <si>
    <t xml:space="preserve">Modifiers</t>
  </si>
  <si>
    <t xml:space="preserve">Command Used</t>
  </si>
  <si>
    <t xml:space="preserve">Intended Target</t>
  </si>
  <si>
    <t xml:space="preserve">Intended Destination</t>
  </si>
  <si>
    <t xml:space="preserve">User Intent understood correctly?</t>
  </si>
  <si>
    <t xml:space="preserve">Object Detected?</t>
  </si>
  <si>
    <t xml:space="preserve">Correct Object Selected?</t>
  </si>
  <si>
    <t xml:space="preserve">Grasp Success?</t>
  </si>
  <si>
    <t xml:space="preserve">Action Executed Correctly?</t>
  </si>
  <si>
    <t xml:space="preserve">Full Task Success?</t>
  </si>
  <si>
    <t xml:space="preserve">Interaction Time (s)</t>
  </si>
  <si>
    <t xml:space="preserve">Total Time (s)</t>
  </si>
  <si>
    <t xml:space="preserve">Failure Category / Notes</t>
  </si>
  <si>
    <t xml:space="preserve">Started by</t>
  </si>
  <si>
    <t xml:space="preserve">Understood by</t>
  </si>
  <si>
    <t xml:space="preserve">GraspGen in background?</t>
  </si>
  <si>
    <t xml:space="preserve">Execution plan</t>
  </si>
  <si>
    <t xml:space="preserve">Plan checked in background?</t>
  </si>
  <si>
    <t xml:space="preserve">Grasp executed</t>
  </si>
  <si>
    <t xml:space="preserve">Command → object handed over (s)</t>
  </si>
  <si>
    <t xml:space="preserve">Waiting for your answers (s)</t>
  </si>
  <si>
    <t xml:space="preserve">Robot time (s)</t>
  </si>
  <si>
    <t xml:space="preserve">Times</t>
  </si>
  <si>
    <t xml:space="preserve">VLA task</t>
  </si>
  <si>
    <t xml:space="preserve">VLA outcome</t>
  </si>
  <si>
    <t xml:space="preserve">Folder</t>
  </si>
  <si>
    <t xml:space="preserve">Viewer</t>
  </si>
  <si>
    <t xml:space="preserve">Video</t>
  </si>
  <si>
    <t xml:space="preserve">086</t>
  </si>
  <si>
    <t xml:space="preserve">2026-09-28</t>
  </si>
  <si>
    <t xml:space="preserve">Layout A</t>
  </si>
  <si>
    <t xml:space="preserve">S1</t>
  </si>
  <si>
    <t xml:space="preserve">S1: Available objects — no physical action</t>
  </si>
  <si>
    <t xml:space="preserve">L1 single-step, explicit</t>
  </si>
  <si>
    <t xml:space="preserve">What do you see on the table?</t>
  </si>
  <si>
    <t xml:space="preserve">voice</t>
  </si>
  <si>
    <t xml:space="preserve">final</t>
  </si>
  <si>
    <t xml:space="preserve">trial_086_LA_S1</t>
  </si>
  <si>
    <t xml:space="preserve">video</t>
  </si>
  <si>
    <t xml:space="preserve">087</t>
  </si>
  <si>
    <t xml:space="preserve">S2</t>
  </si>
  <si>
    <t xml:space="preserve">S2: Object NOT in scene ('give me the book')</t>
  </si>
  <si>
    <t xml:space="preserve">Give me the book, Morty.</t>
  </si>
  <si>
    <t xml:space="preserve">tape_dispenser</t>
  </si>
  <si>
    <t xml:space="preserve">—</t>
  </si>
  <si>
    <t xml:space="preserve">trial_087_LA_S2</t>
  </si>
  <si>
    <t xml:space="preserve">088</t>
  </si>
  <si>
    <t xml:space="preserve">S3</t>
  </si>
  <si>
    <t xml:space="preserve">S3: One of a kind among others — ask for it</t>
  </si>
  <si>
    <t xml:space="preserve">Grasp for me the tape dispenser.</t>
  </si>
  <si>
    <t xml:space="preserve">drop_right</t>
  </si>
  <si>
    <t xml:space="preserve">yes</t>
  </si>
  <si>
    <t xml:space="preserve">instant rule</t>
  </si>
  <si>
    <t xml:space="preserve">curve</t>
  </si>
  <si>
    <t xml:space="preserve">1 of 26</t>
  </si>
  <si>
    <t xml:space="preserve">pick up the tape dispenser</t>
  </si>
  <si>
    <t xml:space="preserve">success</t>
  </si>
  <si>
    <t xml:space="preserve">trial_088_LA_S3</t>
  </si>
  <si>
    <t xml:space="preserve">viewer</t>
  </si>
  <si>
    <t xml:space="preserve">089</t>
  </si>
  <si>
    <t xml:space="preserve">S4</t>
  </si>
  <si>
    <t xml:space="preserve">S4: Two same kind — clarify by words (left/right/colour)</t>
  </si>
  <si>
    <t xml:space="preserve">Grasp for me the vitamin tube.</t>
  </si>
  <si>
    <t xml:space="preserve">vitamin_c</t>
  </si>
  <si>
    <t xml:space="preserve">drop_left</t>
  </si>
  <si>
    <t xml:space="preserve">1 of 11</t>
  </si>
  <si>
    <t xml:space="preserve">pick up the leftmost vitamin tube</t>
  </si>
  <si>
    <t xml:space="preserve">trial_089_LA_S4</t>
  </si>
  <si>
    <t xml:space="preserve">090</t>
  </si>
  <si>
    <t xml:space="preserve">S5</t>
  </si>
  <si>
    <t xml:space="preserve">S5: Two same kind — clarify by pointing</t>
  </si>
  <si>
    <t xml:space="preserve">vitamin_B12</t>
  </si>
  <si>
    <t xml:space="preserve">3 of 24</t>
  </si>
  <si>
    <t xml:space="preserve">pick up the vitamin tube</t>
  </si>
  <si>
    <t xml:space="preserve">trial_090_LA_S5</t>
  </si>
  <si>
    <t xml:space="preserve">091</t>
  </si>
  <si>
    <t xml:space="preserve">S6</t>
  </si>
  <si>
    <t xml:space="preserve">S6: Pointing only (with confirmation)</t>
  </si>
  <si>
    <t xml:space="preserve">M1</t>
  </si>
  <si>
    <t xml:space="preserve">Drop it on the right side.</t>
  </si>
  <si>
    <t xml:space="preserve">pointing/click</t>
  </si>
  <si>
    <t xml:space="preserve">1 of 25</t>
  </si>
  <si>
    <t xml:space="preserve">trial_091_LA_S6</t>
  </si>
  <si>
    <t xml:space="preserve">092</t>
  </si>
  <si>
    <t xml:space="preserve">Morty, could you please tell me which objects you can pick up right now?</t>
  </si>
  <si>
    <t xml:space="preserve">trial_092_LA_S1</t>
  </si>
  <si>
    <t xml:space="preserve">093</t>
  </si>
  <si>
    <t xml:space="preserve">Could you please bring me my phone?</t>
  </si>
  <si>
    <t xml:space="preserve">phone</t>
  </si>
  <si>
    <t xml:space="preserve">trial_093_LA_S2</t>
  </si>
  <si>
    <t xml:space="preserve">095</t>
  </si>
  <si>
    <t xml:space="preserve">Could you slowly bring me the small bottle, please?</t>
  </si>
  <si>
    <t xml:space="preserve">small_bottle</t>
  </si>
  <si>
    <t xml:space="preserve">language model</t>
  </si>
  <si>
    <t xml:space="preserve">3 of 18</t>
  </si>
  <si>
    <t xml:space="preserve">pick up the small bottle</t>
  </si>
  <si>
    <t xml:space="preserve">trial_095_LA_S3</t>
  </si>
  <si>
    <t xml:space="preserve">097</t>
  </si>
  <si>
    <t xml:space="preserve">Get me the vitamin tube.</t>
  </si>
  <si>
    <t xml:space="preserve">no</t>
  </si>
  <si>
    <t xml:space="preserve">1 of 24</t>
  </si>
  <si>
    <t xml:space="preserve">trial_097_LA_S5</t>
  </si>
  <si>
    <t xml:space="preserve">096</t>
  </si>
  <si>
    <t xml:space="preserve">home</t>
  </si>
  <si>
    <t xml:space="preserve">2 of 25</t>
  </si>
  <si>
    <t xml:space="preserve">pick up the rightmost vitamin tube</t>
  </si>
  <si>
    <t xml:space="preserve">trial_096_LA_S4</t>
  </si>
  <si>
    <t xml:space="preserve">099</t>
  </si>
  <si>
    <t xml:space="preserve">Can you give me the small bottle?</t>
  </si>
  <si>
    <t xml:space="preserve">2 of 13</t>
  </si>
  <si>
    <t xml:space="preserve">trial_099_LA_S3</t>
  </si>
  <si>
    <t xml:space="preserve">100</t>
  </si>
  <si>
    <t xml:space="preserve">I need a tape dispenser.</t>
  </si>
  <si>
    <t xml:space="preserve">5 of 17</t>
  </si>
  <si>
    <t xml:space="preserve">trial_100_LA_S3</t>
  </si>
  <si>
    <t xml:space="preserve">101</t>
  </si>
  <si>
    <t xml:space="preserve">M3</t>
  </si>
  <si>
    <t xml:space="preserve">Give me the vitamin tube.</t>
  </si>
  <si>
    <t xml:space="preserve">1 of 16</t>
  </si>
  <si>
    <t xml:space="preserve">trial_101_LA_S4</t>
  </si>
  <si>
    <t xml:space="preserve">105</t>
  </si>
  <si>
    <t xml:space="preserve">Tell me Morty, what kind of object are you seeing right now?</t>
  </si>
  <si>
    <t xml:space="preserve">trial_105_LA_S1</t>
  </si>
  <si>
    <t xml:space="preserve">107</t>
  </si>
  <si>
    <t xml:space="preserve">Give me the toy faucet.</t>
  </si>
  <si>
    <t xml:space="preserve">toy_faucet</t>
  </si>
  <si>
    <t xml:space="preserve">trial_107_LA_S2</t>
  </si>
  <si>
    <t xml:space="preserve">108</t>
  </si>
  <si>
    <t xml:space="preserve">Can you give me the white bottle</t>
  </si>
  <si>
    <t xml:space="preserve">4 of 19</t>
  </si>
  <si>
    <t xml:space="preserve">trial_108_LA_S3</t>
  </si>
  <si>
    <t xml:space="preserve">109</t>
  </si>
  <si>
    <t xml:space="preserve">1 of 23</t>
  </si>
  <si>
    <t xml:space="preserve">trial_109_LA_S4</t>
  </si>
  <si>
    <t xml:space="preserve">110</t>
  </si>
  <si>
    <t xml:space="preserve">Intent first misunderstood because of an incorrect voice transcription ("Yes, say a long one." — Morty told a story); understood after that ("No.", "The yellow one.").</t>
  </si>
  <si>
    <t xml:space="preserve">1 of 15</t>
  </si>
  <si>
    <t xml:space="preserve">trial_110_LA_S5</t>
  </si>
  <si>
    <t xml:space="preserve">111</t>
  </si>
  <si>
    <t xml:space="preserve">Yes, grasp it.</t>
  </si>
  <si>
    <t xml:space="preserve">1 of 13</t>
  </si>
  <si>
    <t xml:space="preserve">trial_111_LA_S6</t>
  </si>
  <si>
    <t xml:space="preserve">112</t>
  </si>
  <si>
    <t xml:space="preserve">S7</t>
  </si>
  <si>
    <t xml:space="preserve">S7: Moving without grasping</t>
  </si>
  <si>
    <t xml:space="preserve">Look at the left, then the right, then go back home.</t>
  </si>
  <si>
    <t xml:space="preserve">trial_112_LA_S7</t>
  </si>
  <si>
    <t xml:space="preserve">114</t>
  </si>
  <si>
    <t xml:space="preserve">2026-09-29</t>
  </si>
  <si>
    <t xml:space="preserve">Morty, look at the right side first, then go home.</t>
  </si>
  <si>
    <t xml:space="preserve">look to the right</t>
  </si>
  <si>
    <t xml:space="preserve">trial_114_LA_S7</t>
  </si>
  <si>
    <t xml:space="preserve">113</t>
  </si>
  <si>
    <t xml:space="preserve">Morty, how are you? Can you look at the left side, then go to the drop right side.</t>
  </si>
  <si>
    <t xml:space="preserve">look to the left</t>
  </si>
  <si>
    <t xml:space="preserve">trial_113_LA_S7</t>
  </si>
  <si>
    <t xml:space="preserve">115</t>
  </si>
  <si>
    <t xml:space="preserve">Yes, grasp a small bottle for me.</t>
  </si>
  <si>
    <t xml:space="preserve">1 of 28</t>
  </si>
  <si>
    <t xml:space="preserve">trial_115_LA_S6</t>
  </si>
  <si>
    <t xml:space="preserve">116</t>
  </si>
  <si>
    <t xml:space="preserve">How many vitamins tubes do you see and where are they</t>
  </si>
  <si>
    <t xml:space="preserve">trial_116_LA_S1</t>
  </si>
  <si>
    <t xml:space="preserve">117</t>
  </si>
  <si>
    <t xml:space="preserve">Grasp.</t>
  </si>
  <si>
    <t xml:space="preserve">banana</t>
  </si>
  <si>
    <t xml:space="preserve">trial_117_LA_S2</t>
  </si>
  <si>
    <t xml:space="preserve">118</t>
  </si>
  <si>
    <t xml:space="preserve">Pick up the tape dispenser and put it on the right side.</t>
  </si>
  <si>
    <t xml:space="preserve">2 of 15</t>
  </si>
  <si>
    <t xml:space="preserve">pick up the tape dispenser and put it on drop_right</t>
  </si>
  <si>
    <t xml:space="preserve">trial_118_LA_S1</t>
  </si>
  <si>
    <t xml:space="preserve">119</t>
  </si>
  <si>
    <t xml:space="preserve">Bring me the vitamins.</t>
  </si>
  <si>
    <t xml:space="preserve">1 of 35</t>
  </si>
  <si>
    <t xml:space="preserve">trial_119_LA_S4</t>
  </si>
  <si>
    <t xml:space="preserve">120</t>
  </si>
  <si>
    <t xml:space="preserve">Pick for me the vitamin tube.</t>
  </si>
  <si>
    <t xml:space="preserve">vitamin_b12</t>
  </si>
  <si>
    <t xml:space="preserve">1 of 21</t>
  </si>
  <si>
    <t xml:space="preserve">trial_120_LA_S5</t>
  </si>
  <si>
    <t xml:space="preserve">121</t>
  </si>
  <si>
    <t xml:space="preserve">M1;M3</t>
  </si>
  <si>
    <t xml:space="preserve">Yes, grasp this vitamin tube.</t>
  </si>
  <si>
    <t xml:space="preserve">home and drop right</t>
  </si>
  <si>
    <t xml:space="preserve">1 of 22</t>
  </si>
  <si>
    <t xml:space="preserve">trial_121_LA_S6</t>
  </si>
  <si>
    <t xml:space="preserve">122</t>
  </si>
  <si>
    <t xml:space="preserve">M2;M3</t>
  </si>
  <si>
    <t xml:space="preserve">Hello Morty, tell me a story while you are looking at the right side.</t>
  </si>
  <si>
    <t xml:space="preserve">unknown</t>
  </si>
  <si>
    <t xml:space="preserve">trial_122_LA_S7</t>
  </si>
  <si>
    <t xml:space="preserve">123</t>
  </si>
  <si>
    <t xml:space="preserve">Hi Morty, before we start, tell me everything that is in front of you from left to right.</t>
  </si>
  <si>
    <t xml:space="preserve">trial_123_LA_S1</t>
  </si>
  <si>
    <t xml:space="preserve">124</t>
  </si>
  <si>
    <t xml:space="preserve">Morty, I'm really thirsty. Can you hand me the coffee?</t>
  </si>
  <si>
    <t xml:space="preserve">coffe mug</t>
  </si>
  <si>
    <t xml:space="preserve">trial_124_LA_S2</t>
  </si>
  <si>
    <t xml:space="preserve">126</t>
  </si>
  <si>
    <t xml:space="preserve">Morty, give me the vitamin tube.</t>
  </si>
  <si>
    <t xml:space="preserve">drop_left then home then right</t>
  </si>
  <si>
    <t xml:space="preserve">pick up the red vitamin tube</t>
  </si>
  <si>
    <t xml:space="preserve">trial_126_LA_S4</t>
  </si>
  <si>
    <t xml:space="preserve">127</t>
  </si>
  <si>
    <t xml:space="preserve">home then drop left.</t>
  </si>
  <si>
    <t xml:space="preserve">trial_127_LA_S5</t>
  </si>
  <si>
    <t xml:space="preserve">128</t>
  </si>
  <si>
    <t xml:space="preserve">He has grasped this vitamin tube. The pitbull, is it the pitbull or not?</t>
  </si>
  <si>
    <t xml:space="preserve">Vitamin B12</t>
  </si>
  <si>
    <t xml:space="preserve">drop left then drop right</t>
  </si>
  <si>
    <t xml:space="preserve">1 of 17</t>
  </si>
  <si>
    <t xml:space="preserve">trial_128_LA_S6</t>
  </si>
  <si>
    <t xml:space="preserve">129</t>
  </si>
  <si>
    <t xml:space="preserve">Now go to the drop right. While you are doing that, tell me a good story.</t>
  </si>
  <si>
    <t xml:space="preserve">drop it on the right side</t>
  </si>
  <si>
    <t xml:space="preserve">trial_129_LA_S7</t>
  </si>
  <si>
    <t xml:space="preserve">125</t>
  </si>
  <si>
    <t xml:space="preserve">Morty, I need to seal a parcel. Would you grab for me the tape dispenser?</t>
  </si>
  <si>
    <t xml:space="preserve">drop_right then home</t>
  </si>
  <si>
    <t xml:space="preserve">1 of 20</t>
  </si>
  <si>
    <t xml:space="preserve">trial_125_LA_S3</t>
  </si>
  <si>
    <t xml:space="preserve">Interaction</t>
  </si>
  <si>
    <t xml:space="preserve">Voice</t>
  </si>
  <si>
    <t xml:space="preserve">Choice</t>
  </si>
  <si>
    <t xml:space="preserve">Perception</t>
  </si>
  <si>
    <t xml:space="preserve">GraspGen</t>
  </si>
  <si>
    <t xml:space="preserve">Motion</t>
  </si>
  <si>
    <t xml:space="preserve">Totals</t>
  </si>
  <si>
    <t xml:space="preserve">Dialogue</t>
  </si>
  <si>
    <t xml:space="preserve">Interaction Time: command given → arm starts moving (s)</t>
  </si>
  <si>
    <t xml:space="preserve">End of your voice → transcript (s)</t>
  </si>
  <si>
    <t xml:space="preserve">You stopped speaking → command (s)</t>
  </si>
  <si>
    <t xml:space="preserve">Understanding: transcript → command (s)</t>
  </si>
  <si>
    <t xml:space="preserve">Command → object chosen, incl. clarification (s)</t>
  </si>
  <si>
    <t xml:space="preserve">Object chosen → grasp candidates (s)</t>
  </si>
  <si>
    <t xml:space="preserve">GraspGen compute (s)</t>
  </si>
  <si>
    <t xml:space="preserve">GraspGen waited for after the choice (s)</t>
  </si>
  <si>
    <t xml:space="preserve">GraspGen ready before the choice (s)</t>
  </si>
  <si>
    <t xml:space="preserve">Plan compute (s)</t>
  </si>
  <si>
    <t xml:space="preserve">Candidates → motion start (s)</t>
  </si>
  <si>
    <t xml:space="preserve">Grasps checked</t>
  </si>
  <si>
    <t xml:space="preserve">Approach (s)</t>
  </si>
  <si>
    <t xml:space="preserve">Arrival → grasp verdict (s)</t>
  </si>
  <si>
    <t xml:space="preserve">Waiting for the drop side (s)</t>
  </si>
  <si>
    <t xml:space="preserve">Transport to the drop (s)</t>
  </si>
  <si>
    <t xml:space="preserve">Motion start → home (s)</t>
  </si>
  <si>
    <t xml:space="preserve">Total (s)</t>
  </si>
  <si>
    <t xml:space="preserve">Morty's questions</t>
  </si>
  <si>
    <t xml:space="preserve">Your sentences</t>
  </si>
  <si>
    <t xml:space="preserve">Path</t>
  </si>
  <si>
    <t xml:space="preserve">Window was late by, max (s)</t>
  </si>
  <si>
    <t xml:space="preserve">precomputed</t>
  </si>
  <si>
    <t xml:space="preserve">094</t>
  </si>
  <si>
    <t xml:space="preserve">fresh</t>
  </si>
  <si>
    <t xml:space="preserve">t in trial (s)</t>
  </si>
  <si>
    <t xml:space="preserve">Who</t>
  </si>
  <si>
    <t xml:space="preserve">Text</t>
  </si>
  <si>
    <t xml:space="preserve">You</t>
  </si>
  <si>
    <t xml:space="preserve">Morty</t>
  </si>
  <si>
    <t xml:space="preserve">I see a Vitamin C, a tape dispenser, a small bottle, and a Vitamin B12.</t>
  </si>
  <si>
    <t xml:space="preserve">I don't see a book on the table.</t>
  </si>
  <si>
    <t xml:space="preserve">Would you like me to pick one of those instead?</t>
  </si>
  <si>
    <t xml:space="preserve">Robot command</t>
  </si>
  <si>
    <t xml:space="preserve">pick tape dispenser</t>
  </si>
  <si>
    <t xml:space="preserve">Starting grasp on the tape dispenser.</t>
  </si>
  <si>
    <t xml:space="preserve">Got the tape dispenser. Where should I drop it? Left, right, or home?</t>
  </si>
  <si>
    <t xml:space="preserve">Going to drop right.</t>
  </si>
  <si>
    <t xml:space="preserve">I'm at the drop right position, still holding the tape dispenser. Should I open the gripper?</t>
  </si>
  <si>
    <t xml:space="preserve">Yes, open the gripper.</t>
  </si>
  <si>
    <t xml:space="preserve">open_gripper</t>
  </si>
  <si>
    <t xml:space="preserve">Opening the gripper.</t>
  </si>
  <si>
    <t xml:space="preserve">Should I go back home?</t>
  </si>
  <si>
    <t xml:space="preserve">Yes, go back home.</t>
  </si>
  <si>
    <t xml:space="preserve">go_home</t>
  </si>
  <si>
    <t xml:space="preserve">Going home.</t>
  </si>
  <si>
    <t xml:space="preserve">Done — I'm back at the home position. What's next?</t>
  </si>
  <si>
    <t xml:space="preserve">pick vitamin tube</t>
  </si>
  <si>
    <t xml:space="preserve">I see two vitamin tubes. Could you say leftmost or rightmost, or point at the one you want?</t>
  </si>
  <si>
    <t xml:space="preserve">Leftmost vitamin tube.</t>
  </si>
  <si>
    <t xml:space="preserve">pick vitamin tube position=leftmost</t>
  </si>
  <si>
    <t xml:space="preserve">Picking the leftmost Vitamin C.</t>
  </si>
  <si>
    <t xml:space="preserve">Starting grasp on the vitamin tube.</t>
  </si>
  <si>
    <t xml:space="preserve">Got the vitamin tube. Where should I drop it? Left, right, or home?</t>
  </si>
  <si>
    <t xml:space="preserve">Drop it on the left side.</t>
  </si>
  <si>
    <t xml:space="preserve">Going to drop left.</t>
  </si>
  <si>
    <t xml:space="preserve">I'm at the drop left position, still holding the vitamin tube. Should I open the gripper?</t>
  </si>
  <si>
    <t xml:space="preserve">Yes, open the gripper, give me the object.</t>
  </si>
  <si>
    <t xml:space="preserve">I'm at the drop right position, still holding the vitamin tube. Should I open the gripper?</t>
  </si>
  <si>
    <t xml:space="preserve">Yes, opens the gripper.</t>
  </si>
  <si>
    <t xml:space="preserve">Go back home.</t>
  </si>
  <si>
    <t xml:space="preserve">Open the gripper, give me the objects and go back home.</t>
  </si>
  <si>
    <t xml:space="preserve">open_gripper then=release_home</t>
  </si>
  <si>
    <t xml:space="preserve">I can see a tape dispenser on the left, a small bottle in the middle, and a Vitamin B12 on the right.</t>
  </si>
  <si>
    <t xml:space="preserve">I don't see a phone on the table — only a tape dispenser, a small bottle, and a Vitamin B12.</t>
  </si>
  <si>
    <t xml:space="preserve">I can pick any of those if you'd like!</t>
  </si>
  <si>
    <t xml:space="preserve">pick small bottle</t>
  </si>
  <si>
    <t xml:space="preserve">Starting grasp on the small bottle.</t>
  </si>
  <si>
    <t xml:space="preserve">Got the small bottle. Where should I drop it? Left, right, or home?</t>
  </si>
  <si>
    <t xml:space="preserve">Drop it home.</t>
  </si>
  <si>
    <t xml:space="preserve">Go home.</t>
  </si>
  <si>
    <t xml:space="preserve">I'm at the home position, still holding the small bottle. Should I open the gripper?</t>
  </si>
  <si>
    <t xml:space="preserve">Open the gripper.</t>
  </si>
  <si>
    <t xml:space="preserve">I'm at the home position. What's next?</t>
  </si>
  <si>
    <t xml:space="preserve">I'm at the drop left position, still holding the small bottle. Should I open the gripper?</t>
  </si>
  <si>
    <t xml:space="preserve">Yes, open the gripper, go back home.</t>
  </si>
  <si>
    <t xml:space="preserve">release_home</t>
  </si>
  <si>
    <t xml:space="preserve">The right most vitamin tube.</t>
  </si>
  <si>
    <t xml:space="preserve">pick vitamin tube position=rightmost</t>
  </si>
  <si>
    <t xml:space="preserve">Picking the rightmost Vitamin B12.</t>
  </si>
  <si>
    <t xml:space="preserve">I'm at the home position, still holding the vitamin tube. Should I open the gripper?</t>
  </si>
  <si>
    <t xml:space="preserve">Right.</t>
  </si>
  <si>
    <t xml:space="preserve">I'm at the drop right position, still holding the small bottle. Should I open the gripper?</t>
  </si>
  <si>
    <t xml:space="preserve">Yeah.</t>
  </si>
  <si>
    <t xml:space="preserve">Give it to me.</t>
  </si>
  <si>
    <t xml:space="preserve">The bottle is already on the right side—you can grab it from there.</t>
  </si>
  <si>
    <t xml:space="preserve">Let's go back home.</t>
  </si>
  <si>
    <t xml:space="preserve">Home.</t>
  </si>
  <si>
    <t xml:space="preserve">I'm at the home position, still holding the tape dispenser. Should I open the gripper?</t>
  </si>
  <si>
    <t xml:space="preserve">Yes.</t>
  </si>
  <si>
    <t xml:space="preserve">Give me the left one.</t>
  </si>
  <si>
    <t xml:space="preserve">Left or right?</t>
  </si>
  <si>
    <t xml:space="preserve">Left.</t>
  </si>
  <si>
    <t xml:space="preserve">Picking the leftmost Vitamin B12.</t>
  </si>
  <si>
    <t xml:space="preserve">Uh, right.</t>
  </si>
  <si>
    <t xml:space="preserve">Não.</t>
  </si>
  <si>
    <t xml:space="preserve">close_gripper</t>
  </si>
  <si>
    <t xml:space="preserve">Okay, I'll keep holding it. Where should I take it?</t>
  </si>
  <si>
    <t xml:space="preserve">No, sorry, go to the left.</t>
  </si>
  <si>
    <t xml:space="preserve">pies</t>
  </si>
  <si>
    <t xml:space="preserve">I'm not sure what you mean—what would you like me to do?</t>
  </si>
  <si>
    <t xml:space="preserve">Yeah, I was thinking still very hard to make it right with the mold. I think.</t>
  </si>
  <si>
    <t xml:space="preserve">I hear you—what would you like me to do next?</t>
  </si>
  <si>
    <t xml:space="preserve">I see a Vitamin B12, a tape dispenser, a small bottle, and a Vitamin C.</t>
  </si>
  <si>
    <t xml:space="preserve">pick toy faucet</t>
  </si>
  <si>
    <t xml:space="preserve">I can't see the toy faucet right now.</t>
  </si>
  <si>
    <t xml:space="preserve">pick small bottle colour=white</t>
  </si>
  <si>
    <t xml:space="preserve">Drop it home and give me the object directly.</t>
  </si>
  <si>
    <t xml:space="preserve">confirm_drop destination=home then=release</t>
  </si>
  <si>
    <t xml:space="preserve">The right one.</t>
  </si>
  <si>
    <t xml:space="preserve">Picking the rightmost Vitamin C.</t>
  </si>
  <si>
    <t xml:space="preserve">Do you mean this vitamin tube, the rightmost one?</t>
  </si>
  <si>
    <t xml:space="preserve">Yes, say a long one.</t>
  </si>
  <si>
    <t xml:space="preserve">Once upon a time, a small robot named Morty lived in a bustling university lab where curious students tinkered with gears and code.</t>
  </si>
  <si>
    <t xml:space="preserve">No.</t>
  </si>
  <si>
    <t xml:space="preserve">reject_point</t>
  </si>
  <si>
    <t xml:space="preserve">Okay. Point at the one you want, or tell me which one.</t>
  </si>
  <si>
    <t xml:space="preserve">The yellow one.</t>
  </si>
  <si>
    <t xml:space="preserve">pick vitamin tube colour=yellow</t>
  </si>
  <si>
    <t xml:space="preserve">Picking the yellow Vitamin C.</t>
  </si>
  <si>
    <t xml:space="preserve">Yes, give me the objects and go back home.</t>
  </si>
  <si>
    <t xml:space="preserve">You pointed at the tape dispenser. Should I grasp it?</t>
  </si>
  <si>
    <t xml:space="preserve">confirm_point</t>
  </si>
  <si>
    <t xml:space="preserve">Drop it on the right side, give me the object and go back home.</t>
  </si>
  <si>
    <t xml:space="preserve">drop_right_release_home</t>
  </si>
  <si>
    <t xml:space="preserve">look_left</t>
  </si>
  <si>
    <t xml:space="preserve">look_right</t>
  </si>
  <si>
    <t xml:space="preserve">Looking left, then right, then home.</t>
  </si>
  <si>
    <t xml:space="preserve">Looking right.</t>
  </si>
  <si>
    <t xml:space="preserve">After that, I want you to go to the drop right position.</t>
  </si>
  <si>
    <t xml:space="preserve">After that, I want you to go back home.</t>
  </si>
  <si>
    <t xml:space="preserve">I'm doing well, thanks for asking!</t>
  </si>
  <si>
    <t xml:space="preserve">Looking left.</t>
  </si>
  <si>
    <t xml:space="preserve">You pointed at the small bottle. Should I grasp it?</t>
  </si>
  <si>
    <t xml:space="preserve">Give it me on the right side and go back home after that.</t>
  </si>
  <si>
    <t xml:space="preserve">confirm_drop destination=drop_right then=release_home</t>
  </si>
  <si>
    <t xml:space="preserve">and the gripper and go back home.</t>
  </si>
  <si>
    <t xml:space="preserve">I've already sent that command — dropping on the right, opening the gripper, and heading home.</t>
  </si>
  <si>
    <t xml:space="preserve">I see 2 vitamin tubes: a Vitamin B12 on the leftmost side and a Vitamin C on the rightmost side.</t>
  </si>
  <si>
    <t xml:space="preserve">Which object do you mean?</t>
  </si>
  <si>
    <t xml:space="preserve">Grasp the banana and put it on the right side.</t>
  </si>
  <si>
    <t xml:space="preserve">Say its name or point at it.</t>
  </si>
  <si>
    <t xml:space="preserve">Grasp the banana.</t>
  </si>
  <si>
    <t xml:space="preserve">I don't see a banana on the table.</t>
  </si>
  <si>
    <t xml:space="preserve">I can see a Vitamin B12, a tape dispenser, a small bottle, and a Vitamin C.</t>
  </si>
  <si>
    <t xml:space="preserve">pick_and_place tape dispenser destination=drop_right</t>
  </si>
  <si>
    <t xml:space="preserve">I'm at the drop position, still holding the tape dispenser. Should I open the gripper?</t>
  </si>
  <si>
    <t xml:space="preserve">Yes, open the gripper. Give me the object and go back home.</t>
  </si>
  <si>
    <t xml:space="preserve">I see two vitamin tubes — the leftmost one is Vitamin B12 and the rightmost one is Vitamin C.</t>
  </si>
  <si>
    <t xml:space="preserve">Which one would you like?</t>
  </si>
  <si>
    <t xml:space="preserve">Do you mean this vitamin tube, the leftmost one?</t>
  </si>
  <si>
    <t xml:space="preserve">Give me the object and go back home.</t>
  </si>
  <si>
    <t xml:space="preserve">You pointed at the vitamin tube. Should I grasp it?</t>
  </si>
  <si>
    <t xml:space="preserve">Grasp it.</t>
  </si>
  <si>
    <t xml:space="preserve">I changed my mind. Go to the drop right.</t>
  </si>
  <si>
    <t xml:space="preserve">He was the whole time in the video, bro.</t>
  </si>
  <si>
    <t xml:space="preserve">Once upon a time, a curious robot named Morty discovered that the best adventures weren't always the farthest away — sometimes they were right beside him, waiting to be noticed.</t>
  </si>
  <si>
    <t xml:space="preserve">He learned that kindness and patience could unlock doors that strength alone never could, and that helping others was the greatest discovery of all.</t>
  </si>
  <si>
    <t xml:space="preserve">Whatever about your story, go to the left side. Look at the left side.</t>
  </si>
  <si>
    <t xml:space="preserve">Now go back home.</t>
  </si>
  <si>
    <t xml:space="preserve">I see a Vitamin B12, a tape dispenser, a small bottle, and a Vitamin C from left to right.</t>
  </si>
  <si>
    <t xml:space="preserve">I don't see a coffee on the table.</t>
  </si>
  <si>
    <t xml:space="preserve">Mug next to the bottle.</t>
  </si>
  <si>
    <t xml:space="preserve">I don't see a mug on the table.</t>
  </si>
  <si>
    <t xml:space="preserve">This one's at our right sink.</t>
  </si>
  <si>
    <t xml:space="preserve">I see two vitamin tubes on the table — could you say leftmost or rightmost?</t>
  </si>
  <si>
    <t xml:space="preserve">No, no, I mean it have red.</t>
  </si>
  <si>
    <t xml:space="preserve">No, no, I mean it have red. Color.</t>
  </si>
  <si>
    <t xml:space="preserve">pick vitamin tube colour=red</t>
  </si>
  <si>
    <t xml:space="preserve">Picking the red Vitamin B12.</t>
  </si>
  <si>
    <t xml:space="preserve">I changed my mind. Go to the back to the home position.</t>
  </si>
  <si>
    <t xml:space="preserve">No, no, don't open it. Go to the drop right.</t>
  </si>
  <si>
    <t xml:space="preserve">Yes, open the gripper, give me the objects and go back home.</t>
  </si>
  <si>
    <t xml:space="preserve">This one.</t>
  </si>
  <si>
    <t xml:space="preserve">The operator is pointing at vitamin_tube 2 (the Vitamin C on the right).</t>
  </si>
  <si>
    <t xml:space="preserve">That was correct. Now, give me that drop left side.</t>
  </si>
  <si>
    <t xml:space="preserve">confirm_drop destination=drop_left</t>
  </si>
  <si>
    <t xml:space="preserve">You know what, I changed my mind, go back to the home position.</t>
  </si>
  <si>
    <t xml:space="preserve">Now give me the object.</t>
  </si>
  <si>
    <t xml:space="preserve">The robot grasped the Vitamin B12 — the one with the purple cap.</t>
  </si>
  <si>
    <t xml:space="preserve">Is that what you meant?</t>
  </si>
  <si>
    <t xml:space="preserve">Yes, correctly.</t>
  </si>
  <si>
    <t xml:space="preserve">Great! What should I do with it next?</t>
  </si>
  <si>
    <t xml:space="preserve">Now grasp it.</t>
  </si>
  <si>
    <t xml:space="preserve">No, I changed my mind. Go to the drop right.</t>
  </si>
  <si>
    <t xml:space="preserve">Now give me the object and go back home.</t>
  </si>
  <si>
    <t xml:space="preserve">Once there was a curious robot at a university who spent its days moving objects around a table.</t>
  </si>
  <si>
    <t xml:space="preserve">One day it realized: every object it picked taught it something new — the weight, the shape, the fragility.</t>
  </si>
  <si>
    <t xml:space="preserve">By the end of the year, the robot wasn't just grasping things anymore; it understood them.</t>
  </si>
  <si>
    <t xml:space="preserve">You know enough, enough. I am got enough from you. Go back home and then, do the drop left.</t>
  </si>
  <si>
    <t xml:space="preserve">I will look at the left side.</t>
  </si>
  <si>
    <t xml:space="preserve">Go ahead — I'm here if you need me.</t>
  </si>
  <si>
    <t xml:space="preserve">No, I said like look at the left side.</t>
  </si>
  <si>
    <t xml:space="preserve">Nice job.</t>
  </si>
  <si>
    <t xml:space="preserve">Thanks! Anything else you need?</t>
  </si>
  <si>
    <t xml:space="preserve">My mind go to the home position.</t>
  </si>
  <si>
    <t xml:space="preserve">#</t>
  </si>
  <si>
    <t xml:space="preserve">Starts at t (s)</t>
  </si>
  <si>
    <t xml:space="preserve">Instruction</t>
  </si>
  <si>
    <t xml:space="preserve">Said / from</t>
  </si>
  <si>
    <t xml:space="preserve">Action</t>
  </si>
  <si>
    <t xml:space="preserve">Steps</t>
  </si>
  <si>
    <t xml:space="preserve">Superseded</t>
  </si>
  <si>
    <t xml:space="preserve">pick</t>
  </si>
  <si>
    <t xml:space="preserve">41–204</t>
  </si>
  <si>
    <t xml:space="preserve">205–345</t>
  </si>
  <si>
    <t xml:space="preserve">open the gripper</t>
  </si>
  <si>
    <t xml:space="preserve">346–435</t>
  </si>
  <si>
    <t xml:space="preserve">go back home</t>
  </si>
  <si>
    <t xml:space="preserve">436–496</t>
  </si>
  <si>
    <t xml:space="preserve">211–345</t>
  </si>
  <si>
    <t xml:space="preserve">drop it on the left side</t>
  </si>
  <si>
    <t xml:space="preserve">346–467</t>
  </si>
  <si>
    <t xml:space="preserve">468–563</t>
  </si>
  <si>
    <t xml:space="preserve">564–611</t>
  </si>
  <si>
    <t xml:space="preserve">36–257</t>
  </si>
  <si>
    <t xml:space="preserve">258–395</t>
  </si>
  <si>
    <t xml:space="preserve">396–475</t>
  </si>
  <si>
    <t xml:space="preserve">476–536</t>
  </si>
  <si>
    <t xml:space="preserve">(pointing)</t>
  </si>
  <si>
    <t xml:space="preserve">0–276</t>
  </si>
  <si>
    <t xml:space="preserve">277–438</t>
  </si>
  <si>
    <t xml:space="preserve">439–525</t>
  </si>
  <si>
    <t xml:space="preserve">78–320</t>
  </si>
  <si>
    <t xml:space="preserve">321–335</t>
  </si>
  <si>
    <t xml:space="preserve">336–477</t>
  </si>
  <si>
    <t xml:space="preserve">478–523</t>
  </si>
  <si>
    <t xml:space="preserve">78–223</t>
  </si>
  <si>
    <t xml:space="preserve">224–344</t>
  </si>
  <si>
    <t xml:space="preserve">345–416</t>
  </si>
  <si>
    <t xml:space="preserve">417–465</t>
  </si>
  <si>
    <t xml:space="preserve">71–285</t>
  </si>
  <si>
    <t xml:space="preserve">286–422</t>
  </si>
  <si>
    <t xml:space="preserve">open the gripper and go back home</t>
  </si>
  <si>
    <t xml:space="preserve">423–507</t>
  </si>
  <si>
    <t xml:space="preserve">152–272</t>
  </si>
  <si>
    <t xml:space="preserve">273–416</t>
  </si>
  <si>
    <t xml:space="preserve">417–460</t>
  </si>
  <si>
    <t xml:space="preserve">78–201</t>
  </si>
  <si>
    <t xml:space="preserve">202–308</t>
  </si>
  <si>
    <t xml:space="preserve">309–444</t>
  </si>
  <si>
    <t xml:space="preserve">445–504</t>
  </si>
  <si>
    <t xml:space="preserve">142–294</t>
  </si>
  <si>
    <t xml:space="preserve">295–425</t>
  </si>
  <si>
    <t xml:space="preserve">426–470</t>
  </si>
  <si>
    <t xml:space="preserve">290–427</t>
  </si>
  <si>
    <t xml:space="preserve">428–542</t>
  </si>
  <si>
    <t xml:space="preserve">close the gripper</t>
  </si>
  <si>
    <t xml:space="preserve">543–569</t>
  </si>
  <si>
    <t xml:space="preserve">570–708</t>
  </si>
  <si>
    <t xml:space="preserve">709–887</t>
  </si>
  <si>
    <t xml:space="preserve">888–938</t>
  </si>
  <si>
    <t xml:space="preserve">99–289</t>
  </si>
  <si>
    <t xml:space="preserve">290–454</t>
  </si>
  <si>
    <t xml:space="preserve">455–558</t>
  </si>
  <si>
    <t xml:space="preserve">100–101</t>
  </si>
  <si>
    <t xml:space="preserve">102–382</t>
  </si>
  <si>
    <t xml:space="preserve">143–408</t>
  </si>
  <si>
    <t xml:space="preserve">drop it on the right side, hand it over and go back home</t>
  </si>
  <si>
    <t xml:space="preserve">confirm_drop</t>
  </si>
  <si>
    <t xml:space="preserve">409–564</t>
  </si>
  <si>
    <t xml:space="preserve">pick_and_place</t>
  </si>
  <si>
    <t xml:space="preserve">101–322</t>
  </si>
  <si>
    <t xml:space="preserve">323–409</t>
  </si>
  <si>
    <t xml:space="preserve">196–370</t>
  </si>
  <si>
    <t xml:space="preserve">371–499</t>
  </si>
  <si>
    <t xml:space="preserve">500–579</t>
  </si>
  <si>
    <t xml:space="preserve">580–637</t>
  </si>
  <si>
    <t xml:space="preserve">44–414</t>
  </si>
  <si>
    <t xml:space="preserve">415–550</t>
  </si>
  <si>
    <t xml:space="preserve">551–639</t>
  </si>
  <si>
    <t xml:space="preserve">0–187</t>
  </si>
  <si>
    <t xml:space="preserve">188–495</t>
  </si>
  <si>
    <t xml:space="preserve">496–603</t>
  </si>
  <si>
    <t xml:space="preserve">604–742</t>
  </si>
  <si>
    <t xml:space="preserve">743–815</t>
  </si>
  <si>
    <t xml:space="preserve">816–874</t>
  </si>
  <si>
    <t xml:space="preserve">82–324</t>
  </si>
  <si>
    <t xml:space="preserve">325–426</t>
  </si>
  <si>
    <t xml:space="preserve">427–518</t>
  </si>
  <si>
    <t xml:space="preserve">289–456</t>
  </si>
  <si>
    <t xml:space="preserve">457–556</t>
  </si>
  <si>
    <t xml:space="preserve">557–693</t>
  </si>
  <si>
    <t xml:space="preserve">694–855</t>
  </si>
  <si>
    <t xml:space="preserve">856–942</t>
  </si>
  <si>
    <t xml:space="preserve">50–314</t>
  </si>
  <si>
    <t xml:space="preserve">315–402</t>
  </si>
  <si>
    <t xml:space="preserve">403–454</t>
  </si>
  <si>
    <t xml:space="preserve">455–501</t>
  </si>
  <si>
    <t xml:space="preserve">33–446</t>
  </si>
  <si>
    <t xml:space="preserve">447–512</t>
  </si>
  <si>
    <t xml:space="preserve">513–608</t>
  </si>
  <si>
    <t xml:space="preserve">609–697</t>
  </si>
  <si>
    <t xml:space="preserve">82–337</t>
  </si>
  <si>
    <t xml:space="preserve">338–338</t>
  </si>
  <si>
    <t xml:space="preserve">339–565</t>
  </si>
  <si>
    <t xml:space="preserve">566–674</t>
  </si>
  <si>
    <t xml:space="preserve">137–282</t>
  </si>
  <si>
    <t xml:space="preserve">283–368</t>
  </si>
  <si>
    <t xml:space="preserve">369–505</t>
  </si>
  <si>
    <t xml:space="preserve">506–552</t>
  </si>
  <si>
    <t xml:space="preserve">MMHRI experiments — summary per scenario</t>
  </si>
  <si>
    <t xml:space="preserve">Formulas over the Experiments sheet (9 trials). Success rate = Full Task Success yes / (yes + no); averages ignore empty cells.</t>
  </si>
  <si>
    <t xml:space="preserve">Trials</t>
  </si>
  <si>
    <t xml:space="preserve">Full task success: yes</t>
  </si>
  <si>
    <t xml:space="preserve">Full task success: no</t>
  </si>
  <si>
    <t xml:space="preserve">Success rate</t>
  </si>
  <si>
    <t xml:space="preserve">Grasp success: yes</t>
  </si>
  <si>
    <t xml:space="preserve">Avg Interaction Time (s)</t>
  </si>
  <si>
    <t xml:space="preserve">Avg total time (s)</t>
  </si>
  <si>
    <t xml:space="preserve">Avg robot time (s)</t>
  </si>
  <si>
    <t xml:space="preserve">Avg waiting for your answers (s)</t>
  </si>
  <si>
    <t xml:space="preserve">Available objects — no physical action</t>
  </si>
  <si>
    <t xml:space="preserve">Object NOT in scene ('give me the book')</t>
  </si>
  <si>
    <t xml:space="preserve">One of a kind among others — ask for it</t>
  </si>
  <si>
    <t xml:space="preserve">Two same kind — clarify by words (left/right/colour)</t>
  </si>
  <si>
    <t xml:space="preserve">Two same kind — clarify by pointing</t>
  </si>
  <si>
    <t xml:space="preserve">Pointing only (with confirmation)</t>
  </si>
  <si>
    <t xml:space="preserve">Moving without grasping</t>
  </si>
  <si>
    <t xml:space="preserve">All</t>
  </si>
  <si>
    <t xml:space="preserve">Trials per scenario and layout</t>
  </si>
  <si>
    <t xml:space="preserve">Column / item</t>
  </si>
  <si>
    <t xml:space="preserve">Meaning</t>
  </si>
  <si>
    <t xml:space="preserve">Where the data comes from</t>
  </si>
  <si>
    <t xml:space="preserve">Every sheet is rebuilt from the trial folders (trial.json, timeline.json, meta.json) each time the window sends. Edit a trial in the MMHRI window (or its trial.json), not in these sheets — your edits here would be replaced. Sheets you add yourself are kept.</t>
  </si>
  <si>
    <t xml:space="preserve"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</si>
  <si>
    <t xml:space="preserve">From the first command (or the pointing choice) to the end of the robot's cycle (back home).</t>
  </si>
  <si>
    <t xml:space="preserve">voice = the task began with a spoken command; pointing/click = the object was chosen by pointing or a click before anything was said.</t>
  </si>
  <si>
    <t xml:space="preserve">The end-of-speech wait (0.5-0.8 s, to be sure you finished) plus speech recognition.</t>
  </si>
  <si>
    <t xml:space="preserve">The end of the operator's voice → the robot command for that sentence.</t>
  </si>
  <si>
    <t xml:space="preserve">The accepted transcript that caused the command → the command.</t>
  </si>
  <si>
    <t xml:space="preserve">instant rule = the fixed phrase layer (about 0.01 s); language model = Claude (about 1 s).</t>
  </si>
  <si>
    <t xml:space="preserve">The first command → the pipeline committing the object. Includes a clarification dialogue ('which one?') or the pointing, and handing the object's name to the pipeline.</t>
  </si>
  <si>
    <t xml:space="preserve">The committed choice → grasp candidates published (capture, segmentation, the stored-grasp lookup, or GraspGen when nothing was stored).</t>
  </si>
  <si>
    <t xml:space="preserve">yes = GraspGen had already computed this object's grasps before the command (precompute); no = it ran after the command, and the operator waited for it.</t>
  </si>
  <si>
    <t xml:space="preserve">Duration of the GraspGen run whose grasps the robot executed.</t>
  </si>
  <si>
    <t xml:space="preserve">How much of that run the operator actually waited for (0 = ready before).</t>
  </si>
  <si>
    <t xml:space="preserve">How long before the choice the grasps were ready.</t>
  </si>
  <si>
    <t xml:space="preserve">How the approach was planned: curve = the smooth approach path (bend + straight slide); lines = blended straight-line segments, the fallback.</t>
  </si>
  <si>
    <t xml:space="preserve">yes = the executor had already verified this grasp could be reached (precheck hit), so it moved at once; no = it checked after the candidates arrived (precheck miss) and the operator waited for it.</t>
  </si>
  <si>
    <t xml:space="preserve">Time to verify the plan: the background probe (when checked in the background) or the probe after the candidates arrived.</t>
  </si>
  <si>
    <t xml:space="preserve">What the operator actually waited in the executor, from the candidates to moving.</t>
  </si>
  <si>
    <t xml:space="preserve">Which of the GraspGen candidates was executed ('1 of 26' = the best-ranked one).</t>
  </si>
  <si>
    <t xml:space="preserve">How many candidates the executor probed before executing one.</t>
  </si>
  <si>
    <t xml:space="preserve">The command given → the gripper opened at the destination.</t>
  </si>
  <si>
    <t xml:space="preserve">Time Morty waited for the operator: at 'Where should I drop it?', 'Should I open the gripper?' and 'Should I go back home?'.</t>
  </si>
  <si>
    <t xml:space="preserve">Total time minus the time Morty waited for the operator.</t>
  </si>
  <si>
    <t xml:space="preserve">final = rebuilt from exact event times after the trial (the messages' own stamps, else the earliest recorder); preliminary = the window's own times at ⏹ (can be late under load).</t>
  </si>
  <si>
    <t xml:space="preserve">Summary: success rate</t>
  </si>
  <si>
    <t xml:space="preserve">Full Task Success = yes divided by (yes + no); trials without a verdict are not counted.</t>
  </si>
  <si>
    <t xml:space="preserve">trial folder</t>
  </si>
  <si>
    <t xml:space="preserve">/home/deep/morty_ws/experiments/experiments_28_09_2026/trial_086_LA_S1</t>
  </si>
  <si>
    <t xml:space="preserve">/home/deep/morty_ws/experiments/experiments_28_09_2026/trial_087_LA_S2</t>
  </si>
  <si>
    <t xml:space="preserve">/home/deep/morty_ws/experiments/experiments_28_09_2026/trial_088_LA_S3</t>
  </si>
  <si>
    <t xml:space="preserve">/home/deep/morty_ws/experiments/experiments_28_09_2026/trial_089_LA_S4</t>
  </si>
  <si>
    <t xml:space="preserve">/home/deep/morty_ws/experiments/experiments_28_09_2026/trial_090_LA_S5</t>
  </si>
  <si>
    <t xml:space="preserve">/home/deep/morty_ws/experiments/experiments_28_09_2026/trial_091_LA_S6</t>
  </si>
  <si>
    <t xml:space="preserve">/home/deep/morty_ws/experiments/experiments_28_09_2026/trial_092_LA_S1</t>
  </si>
  <si>
    <t xml:space="preserve">/home/deep/morty_ws/experiments/experiments_28_09_2026/trial_093_LA_S2</t>
  </si>
  <si>
    <t xml:space="preserve">/home/deep/morty_ws/experiments/experiments_28_09_2026/trial_094_LA_S3</t>
  </si>
  <si>
    <t xml:space="preserve">/home/deep/morty_ws/experiments/experiments_28_09_2026/trial_095_LA_S3</t>
  </si>
  <si>
    <t xml:space="preserve">/home/deep/morty_ws/experiments/experiments_28_09_2026/trial_097_LA_S5</t>
  </si>
  <si>
    <t xml:space="preserve">/home/deep/morty_ws/experiments/experiments_28_09_2026/trial_096_LA_S4</t>
  </si>
  <si>
    <t xml:space="preserve">/home/deep/morty_ws/experiments/experiments_28_09_2026/trial_099_LA_S3</t>
  </si>
  <si>
    <t xml:space="preserve">/home/deep/morty_ws/experiments/experiments_28_09_2026/trial_100_LA_S3</t>
  </si>
  <si>
    <t xml:space="preserve">/home/deep/morty_ws/experiments/experiments_28_09_2026/trial_101_LA_S4</t>
  </si>
  <si>
    <t xml:space="preserve">/home/deep/morty_ws/experiments/experiments_28_09_2026/trial_105_LA_S1</t>
  </si>
  <si>
    <t xml:space="preserve">/home/deep/morty_ws/experiments/experiments_28_09_2026/trial_107_LA_S2</t>
  </si>
  <si>
    <t xml:space="preserve">/home/deep/morty_ws/experiments/experiments_28_09_2026/trial_108_LA_S3</t>
  </si>
  <si>
    <t xml:space="preserve">/home/deep/morty_ws/experiments/experiments_28_09_2026/trial_109_LA_S4</t>
  </si>
  <si>
    <t xml:space="preserve">/home/deep/morty_ws/experiments/experiments_28_09_2026/trial_110_LA_S5</t>
  </si>
  <si>
    <t xml:space="preserve">/home/deep/morty_ws/experiments/experiments_28_09_2026/trial_111_LA_S6</t>
  </si>
  <si>
    <t xml:space="preserve">/home/deep/morty_ws/experiments/experiments_28_09_2026/trial_112_LA_S7</t>
  </si>
  <si>
    <t xml:space="preserve">/home/deep/morty_ws/experiments/experiments_29_09_2026/trial_114_LA_S7</t>
  </si>
  <si>
    <t xml:space="preserve">/home/deep/morty_ws/experiments/experiments_29_09_2026/trial_113_LA_S7</t>
  </si>
  <si>
    <t xml:space="preserve">/home/deep/morty_ws/experiments/experiments_29_09_2026/trial_115_LA_S6</t>
  </si>
  <si>
    <t xml:space="preserve">/home/deep/morty_ws/experiments/experiments_29_09_2026/trial_116_LA_S1</t>
  </si>
  <si>
    <t xml:space="preserve">/home/deep/morty_ws/experiments/experiments_29_09_2026/trial_117_LA_S2</t>
  </si>
  <si>
    <t xml:space="preserve">/home/deep/morty_ws/experiments/experiments_29_09_2026/trial_118_LA_S1</t>
  </si>
  <si>
    <t xml:space="preserve">/home/deep/morty_ws/experiments/experiments_29_09_2026/trial_119_LA_S4</t>
  </si>
  <si>
    <t xml:space="preserve">/home/deep/morty_ws/experiments/experiments_29_09_2026/trial_120_LA_S5</t>
  </si>
  <si>
    <t xml:space="preserve">/home/deep/morty_ws/experiments/experiments_29_09_2026/trial_121_LA_S6</t>
  </si>
  <si>
    <t xml:space="preserve">/home/deep/morty_ws/experiments/experiments_29_09_2026/trial_122_LA_S7</t>
  </si>
  <si>
    <t xml:space="preserve">/home/deep/morty_ws/experiments/experiments_29_09_2026/trial_123_LA_S1</t>
  </si>
  <si>
    <t xml:space="preserve">/home/deep/morty_ws/experiments/experiments_29_09_2026/trial_124_LA_S2</t>
  </si>
  <si>
    <t xml:space="preserve">/home/deep/morty_ws/experiments/experiments_29_09_2026/trial_126_LA_S4</t>
  </si>
  <si>
    <t xml:space="preserve">/home/deep/morty_ws/experiments/experiments_29_09_2026/trial_127_LA_S5</t>
  </si>
  <si>
    <t xml:space="preserve">/home/deep/morty_ws/experiments/experiments_29_09_2026/trial_128_LA_S6</t>
  </si>
  <si>
    <t xml:space="preserve">/home/deep/morty_ws/experiments/experiments_29_09_2026/trial_129_LA_S7</t>
  </si>
  <si>
    <t xml:space="preserve">/home/deep/morty_ws/experiments/experiments_29_09_2026/trial_125_LA_S3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</si>
</sst>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%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E2F0D9"/>
      </patternFill>
    </fill>
    <fill>
      <patternFill patternType="solid">
        <fgColor rgb="FFFF860D"/>
        <bgColor rgb="FFFF6600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DCE6F1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860D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0563C1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CE6F1"/>
      <rgbColor rgb="FF660066"/>
      <rgbColor rgb="FFFF8080"/>
      <rgbColor rgb="FF0563C1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860D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experiments_28_09_2026/trial_086_LA_S1" TargetMode="External"/><Relationship Id="rId3" Type="http://schemas.openxmlformats.org/officeDocument/2006/relationships/hyperlink" Target="experiments_28_09_2026/trial_086_LA_S1/trial.mp4" TargetMode="External"/><Relationship Id="rId4" Type="http://schemas.openxmlformats.org/officeDocument/2006/relationships/hyperlink" Target="experiments_28_09_2026/trial_087_LA_S2" TargetMode="External"/><Relationship Id="rId5" Type="http://schemas.openxmlformats.org/officeDocument/2006/relationships/hyperlink" Target="experiments_28_09_2026/trial_087_LA_S2/trial.mp4" TargetMode="External"/><Relationship Id="rId6" Type="http://schemas.openxmlformats.org/officeDocument/2006/relationships/hyperlink" Target="experiments_28_09_2026/trial_088_LA_S3" TargetMode="External"/><Relationship Id="rId7" Type="http://schemas.openxmlformats.org/officeDocument/2006/relationships/hyperlink" Target="experiments_28_09_2026/trial_088_LA_S3/viewer.html" TargetMode="External"/><Relationship Id="rId8" Type="http://schemas.openxmlformats.org/officeDocument/2006/relationships/hyperlink" Target="experiments_28_09_2026/trial_088_LA_S3/trial.mp4" TargetMode="External"/><Relationship Id="rId9" Type="http://schemas.openxmlformats.org/officeDocument/2006/relationships/hyperlink" Target="experiments_28_09_2026/trial_089_LA_S4" TargetMode="External"/><Relationship Id="rId10" Type="http://schemas.openxmlformats.org/officeDocument/2006/relationships/hyperlink" Target="experiments_28_09_2026/trial_089_LA_S4/viewer.html" TargetMode="External"/><Relationship Id="rId11" Type="http://schemas.openxmlformats.org/officeDocument/2006/relationships/hyperlink" Target="experiments_28_09_2026/trial_089_LA_S4/trial.mp4" TargetMode="External"/><Relationship Id="rId12" Type="http://schemas.openxmlformats.org/officeDocument/2006/relationships/hyperlink" Target="experiments_28_09_2026/trial_090_LA_S5" TargetMode="External"/><Relationship Id="rId13" Type="http://schemas.openxmlformats.org/officeDocument/2006/relationships/hyperlink" Target="experiments_28_09_2026/trial_090_LA_S5/viewer.html" TargetMode="External"/><Relationship Id="rId14" Type="http://schemas.openxmlformats.org/officeDocument/2006/relationships/hyperlink" Target="experiments_28_09_2026/trial_090_LA_S5/trial.mp4" TargetMode="External"/><Relationship Id="rId15" Type="http://schemas.openxmlformats.org/officeDocument/2006/relationships/hyperlink" Target="experiments_28_09_2026/trial_091_LA_S6" TargetMode="External"/><Relationship Id="rId16" Type="http://schemas.openxmlformats.org/officeDocument/2006/relationships/hyperlink" Target="experiments_28_09_2026/trial_091_LA_S6/viewer.html" TargetMode="External"/><Relationship Id="rId17" Type="http://schemas.openxmlformats.org/officeDocument/2006/relationships/hyperlink" Target="experiments_28_09_2026/trial_091_LA_S6/trial.mp4" TargetMode="External"/><Relationship Id="rId18" Type="http://schemas.openxmlformats.org/officeDocument/2006/relationships/hyperlink" Target="experiments_28_09_2026/trial_092_LA_S1" TargetMode="External"/><Relationship Id="rId19" Type="http://schemas.openxmlformats.org/officeDocument/2006/relationships/hyperlink" Target="experiments_28_09_2026/trial_092_LA_S1/trial.mp4" TargetMode="External"/><Relationship Id="rId20" Type="http://schemas.openxmlformats.org/officeDocument/2006/relationships/hyperlink" Target="experiments_28_09_2026/trial_093_LA_S2" TargetMode="External"/><Relationship Id="rId21" Type="http://schemas.openxmlformats.org/officeDocument/2006/relationships/hyperlink" Target="experiments_28_09_2026/trial_093_LA_S2/trial.mp4" TargetMode="External"/><Relationship Id="rId22" Type="http://schemas.openxmlformats.org/officeDocument/2006/relationships/hyperlink" Target="experiments_28_09_2026/trial_095_LA_S3" TargetMode="External"/><Relationship Id="rId23" Type="http://schemas.openxmlformats.org/officeDocument/2006/relationships/hyperlink" Target="experiments_28_09_2026/trial_095_LA_S3/viewer.html" TargetMode="External"/><Relationship Id="rId24" Type="http://schemas.openxmlformats.org/officeDocument/2006/relationships/hyperlink" Target="experiments_28_09_2026/trial_095_LA_S3/trial.mp4" TargetMode="External"/><Relationship Id="rId25" Type="http://schemas.openxmlformats.org/officeDocument/2006/relationships/hyperlink" Target="experiments_28_09_2026/trial_097_LA_S5" TargetMode="External"/><Relationship Id="rId26" Type="http://schemas.openxmlformats.org/officeDocument/2006/relationships/hyperlink" Target="experiments_28_09_2026/trial_097_LA_S5/viewer.html" TargetMode="External"/><Relationship Id="rId27" Type="http://schemas.openxmlformats.org/officeDocument/2006/relationships/hyperlink" Target="experiments_28_09_2026/trial_097_LA_S5/trial.mp4" TargetMode="External"/><Relationship Id="rId28" Type="http://schemas.openxmlformats.org/officeDocument/2006/relationships/hyperlink" Target="experiments_28_09_2026/trial_096_LA_S4" TargetMode="External"/><Relationship Id="rId29" Type="http://schemas.openxmlformats.org/officeDocument/2006/relationships/hyperlink" Target="experiments_28_09_2026/trial_096_LA_S4/viewer.html" TargetMode="External"/><Relationship Id="rId30" Type="http://schemas.openxmlformats.org/officeDocument/2006/relationships/hyperlink" Target="experiments_28_09_2026/trial_096_LA_S4/trial.mp4" TargetMode="External"/><Relationship Id="rId31" Type="http://schemas.openxmlformats.org/officeDocument/2006/relationships/hyperlink" Target="experiments_28_09_2026/trial_099_LA_S3" TargetMode="External"/><Relationship Id="rId32" Type="http://schemas.openxmlformats.org/officeDocument/2006/relationships/hyperlink" Target="experiments_28_09_2026/trial_099_LA_S3/viewer.html" TargetMode="External"/><Relationship Id="rId33" Type="http://schemas.openxmlformats.org/officeDocument/2006/relationships/hyperlink" Target="experiments_28_09_2026/trial_099_LA_S3/trial.mp4" TargetMode="External"/><Relationship Id="rId34" Type="http://schemas.openxmlformats.org/officeDocument/2006/relationships/hyperlink" Target="experiments_28_09_2026/trial_100_LA_S3" TargetMode="External"/><Relationship Id="rId35" Type="http://schemas.openxmlformats.org/officeDocument/2006/relationships/hyperlink" Target="experiments_28_09_2026/trial_100_LA_S3/viewer.html" TargetMode="External"/><Relationship Id="rId36" Type="http://schemas.openxmlformats.org/officeDocument/2006/relationships/hyperlink" Target="experiments_28_09_2026/trial_100_LA_S3/trial.mp4" TargetMode="External"/><Relationship Id="rId37" Type="http://schemas.openxmlformats.org/officeDocument/2006/relationships/hyperlink" Target="experiments_28_09_2026/trial_101_LA_S4" TargetMode="External"/><Relationship Id="rId38" Type="http://schemas.openxmlformats.org/officeDocument/2006/relationships/hyperlink" Target="experiments_28_09_2026/trial_101_LA_S4/viewer.html" TargetMode="External"/><Relationship Id="rId39" Type="http://schemas.openxmlformats.org/officeDocument/2006/relationships/hyperlink" Target="experiments_28_09_2026/trial_101_LA_S4/trial.mp4" TargetMode="External"/><Relationship Id="rId40" Type="http://schemas.openxmlformats.org/officeDocument/2006/relationships/hyperlink" Target="experiments_28_09_2026/trial_105_LA_S1" TargetMode="External"/><Relationship Id="rId41" Type="http://schemas.openxmlformats.org/officeDocument/2006/relationships/hyperlink" Target="experiments_28_09_2026/trial_105_LA_S1/trial.mp4" TargetMode="External"/><Relationship Id="rId42" Type="http://schemas.openxmlformats.org/officeDocument/2006/relationships/hyperlink" Target="experiments_28_09_2026/trial_107_LA_S2" TargetMode="External"/><Relationship Id="rId43" Type="http://schemas.openxmlformats.org/officeDocument/2006/relationships/hyperlink" Target="experiments_28_09_2026/trial_107_LA_S2/trial.mp4" TargetMode="External"/><Relationship Id="rId44" Type="http://schemas.openxmlformats.org/officeDocument/2006/relationships/hyperlink" Target="experiments_28_09_2026/trial_108_LA_S3" TargetMode="External"/><Relationship Id="rId45" Type="http://schemas.openxmlformats.org/officeDocument/2006/relationships/hyperlink" Target="experiments_28_09_2026/trial_108_LA_S3/trial.mp4" TargetMode="External"/><Relationship Id="rId46" Type="http://schemas.openxmlformats.org/officeDocument/2006/relationships/hyperlink" Target="experiments_28_09_2026/trial_109_LA_S4" TargetMode="External"/><Relationship Id="rId47" Type="http://schemas.openxmlformats.org/officeDocument/2006/relationships/hyperlink" Target="experiments_28_09_2026/trial_109_LA_S4/trial.mp4" TargetMode="External"/><Relationship Id="rId48" Type="http://schemas.openxmlformats.org/officeDocument/2006/relationships/hyperlink" Target="experiments_28_09_2026/trial_110_LA_S5" TargetMode="External"/><Relationship Id="rId49" Type="http://schemas.openxmlformats.org/officeDocument/2006/relationships/hyperlink" Target="experiments_28_09_2026/trial_110_LA_S5/trial.mp4" TargetMode="External"/><Relationship Id="rId50" Type="http://schemas.openxmlformats.org/officeDocument/2006/relationships/hyperlink" Target="experiments_28_09_2026/trial_111_LA_S6" TargetMode="External"/><Relationship Id="rId51" Type="http://schemas.openxmlformats.org/officeDocument/2006/relationships/hyperlink" Target="experiments_28_09_2026/trial_111_LA_S6/trial.mp4" TargetMode="External"/><Relationship Id="rId52" Type="http://schemas.openxmlformats.org/officeDocument/2006/relationships/hyperlink" Target="experiments_28_09_2026/trial_112_LA_S7" TargetMode="External"/><Relationship Id="rId53" Type="http://schemas.openxmlformats.org/officeDocument/2006/relationships/hyperlink" Target="experiments_28_09_2026/trial_112_LA_S7/trial.mp4" TargetMode="External"/><Relationship Id="rId54" Type="http://schemas.openxmlformats.org/officeDocument/2006/relationships/hyperlink" Target="experiments_29_09_2026/trial_114_LA_S7" TargetMode="External"/><Relationship Id="rId55" Type="http://schemas.openxmlformats.org/officeDocument/2006/relationships/hyperlink" Target="experiments_29_09_2026/trial_114_LA_S7/viewer.html" TargetMode="External"/><Relationship Id="rId56" Type="http://schemas.openxmlformats.org/officeDocument/2006/relationships/hyperlink" Target="experiments_29_09_2026/trial_114_LA_S7/trial.mp4" TargetMode="External"/><Relationship Id="rId57" Type="http://schemas.openxmlformats.org/officeDocument/2006/relationships/hyperlink" Target="experiments_29_09_2026/trial_113_LA_S7" TargetMode="External"/><Relationship Id="rId58" Type="http://schemas.openxmlformats.org/officeDocument/2006/relationships/hyperlink" Target="experiments_29_09_2026/trial_113_LA_S7/viewer.html" TargetMode="External"/><Relationship Id="rId59" Type="http://schemas.openxmlformats.org/officeDocument/2006/relationships/hyperlink" Target="experiments_29_09_2026/trial_113_LA_S7/trial.mp4" TargetMode="External"/><Relationship Id="rId60" Type="http://schemas.openxmlformats.org/officeDocument/2006/relationships/hyperlink" Target="experiments_29_09_2026/trial_115_LA_S6" TargetMode="External"/><Relationship Id="rId61" Type="http://schemas.openxmlformats.org/officeDocument/2006/relationships/hyperlink" Target="experiments_29_09_2026/trial_115_LA_S6/viewer.html" TargetMode="External"/><Relationship Id="rId62" Type="http://schemas.openxmlformats.org/officeDocument/2006/relationships/hyperlink" Target="experiments_29_09_2026/trial_115_LA_S6/trial.mp4" TargetMode="External"/><Relationship Id="rId63" Type="http://schemas.openxmlformats.org/officeDocument/2006/relationships/hyperlink" Target="experiments_29_09_2026/trial_116_LA_S1" TargetMode="External"/><Relationship Id="rId64" Type="http://schemas.openxmlformats.org/officeDocument/2006/relationships/hyperlink" Target="experiments_29_09_2026/trial_116_LA_S1/trial.mp4" TargetMode="External"/><Relationship Id="rId65" Type="http://schemas.openxmlformats.org/officeDocument/2006/relationships/hyperlink" Target="experiments_29_09_2026/trial_117_LA_S2" TargetMode="External"/><Relationship Id="rId66" Type="http://schemas.openxmlformats.org/officeDocument/2006/relationships/hyperlink" Target="experiments_29_09_2026/trial_117_LA_S2/trial.mp4" TargetMode="External"/><Relationship Id="rId67" Type="http://schemas.openxmlformats.org/officeDocument/2006/relationships/hyperlink" Target="experiments_29_09_2026/trial_118_LA_S1" TargetMode="External"/><Relationship Id="rId68" Type="http://schemas.openxmlformats.org/officeDocument/2006/relationships/hyperlink" Target="experiments_29_09_2026/trial_118_LA_S1/viewer.html" TargetMode="External"/><Relationship Id="rId69" Type="http://schemas.openxmlformats.org/officeDocument/2006/relationships/hyperlink" Target="experiments_29_09_2026/trial_118_LA_S1/trial.mp4" TargetMode="External"/><Relationship Id="rId70" Type="http://schemas.openxmlformats.org/officeDocument/2006/relationships/hyperlink" Target="experiments_29_09_2026/trial_119_LA_S4" TargetMode="External"/><Relationship Id="rId71" Type="http://schemas.openxmlformats.org/officeDocument/2006/relationships/hyperlink" Target="experiments_29_09_2026/trial_119_LA_S4/viewer.html" TargetMode="External"/><Relationship Id="rId72" Type="http://schemas.openxmlformats.org/officeDocument/2006/relationships/hyperlink" Target="experiments_29_09_2026/trial_119_LA_S4/trial.mp4" TargetMode="External"/><Relationship Id="rId73" Type="http://schemas.openxmlformats.org/officeDocument/2006/relationships/hyperlink" Target="experiments_29_09_2026/trial_120_LA_S5" TargetMode="External"/><Relationship Id="rId74" Type="http://schemas.openxmlformats.org/officeDocument/2006/relationships/hyperlink" Target="experiments_29_09_2026/trial_120_LA_S5/viewer.html" TargetMode="External"/><Relationship Id="rId75" Type="http://schemas.openxmlformats.org/officeDocument/2006/relationships/hyperlink" Target="experiments_29_09_2026/trial_120_LA_S5/trial.mp4" TargetMode="External"/><Relationship Id="rId76" Type="http://schemas.openxmlformats.org/officeDocument/2006/relationships/hyperlink" Target="experiments_29_09_2026/trial_121_LA_S6" TargetMode="External"/><Relationship Id="rId77" Type="http://schemas.openxmlformats.org/officeDocument/2006/relationships/hyperlink" Target="experiments_29_09_2026/trial_121_LA_S6/viewer.html" TargetMode="External"/><Relationship Id="rId78" Type="http://schemas.openxmlformats.org/officeDocument/2006/relationships/hyperlink" Target="experiments_29_09_2026/trial_121_LA_S6/trial.mp4" TargetMode="External"/><Relationship Id="rId79" Type="http://schemas.openxmlformats.org/officeDocument/2006/relationships/hyperlink" Target="experiments_29_09_2026/trial_122_LA_S7" TargetMode="External"/><Relationship Id="rId80" Type="http://schemas.openxmlformats.org/officeDocument/2006/relationships/hyperlink" Target="experiments_29_09_2026/trial_122_LA_S7/viewer.html" TargetMode="External"/><Relationship Id="rId81" Type="http://schemas.openxmlformats.org/officeDocument/2006/relationships/hyperlink" Target="experiments_29_09_2026/trial_122_LA_S7/trial.mp4" TargetMode="External"/><Relationship Id="rId82" Type="http://schemas.openxmlformats.org/officeDocument/2006/relationships/hyperlink" Target="experiments_29_09_2026/trial_123_LA_S1" TargetMode="External"/><Relationship Id="rId83" Type="http://schemas.openxmlformats.org/officeDocument/2006/relationships/hyperlink" Target="experiments_29_09_2026/trial_123_LA_S1/trial.mp4" TargetMode="External"/><Relationship Id="rId84" Type="http://schemas.openxmlformats.org/officeDocument/2006/relationships/hyperlink" Target="experiments_29_09_2026/trial_124_LA_S2" TargetMode="External"/><Relationship Id="rId85" Type="http://schemas.openxmlformats.org/officeDocument/2006/relationships/hyperlink" Target="experiments_29_09_2026/trial_124_LA_S2/trial.mp4" TargetMode="External"/><Relationship Id="rId86" Type="http://schemas.openxmlformats.org/officeDocument/2006/relationships/hyperlink" Target="experiments_29_09_2026/trial_126_LA_S4" TargetMode="External"/><Relationship Id="rId87" Type="http://schemas.openxmlformats.org/officeDocument/2006/relationships/hyperlink" Target="experiments_29_09_2026/trial_126_LA_S4/viewer.html" TargetMode="External"/><Relationship Id="rId88" Type="http://schemas.openxmlformats.org/officeDocument/2006/relationships/hyperlink" Target="experiments_29_09_2026/trial_126_LA_S4/trial.mp4" TargetMode="External"/><Relationship Id="rId89" Type="http://schemas.openxmlformats.org/officeDocument/2006/relationships/hyperlink" Target="experiments_29_09_2026/trial_127_LA_S5" TargetMode="External"/><Relationship Id="rId90" Type="http://schemas.openxmlformats.org/officeDocument/2006/relationships/hyperlink" Target="experiments_29_09_2026/trial_127_LA_S5/viewer.html" TargetMode="External"/><Relationship Id="rId91" Type="http://schemas.openxmlformats.org/officeDocument/2006/relationships/hyperlink" Target="experiments_29_09_2026/trial_127_LA_S5/trial.mp4" TargetMode="External"/><Relationship Id="rId92" Type="http://schemas.openxmlformats.org/officeDocument/2006/relationships/hyperlink" Target="experiments_29_09_2026/trial_128_LA_S6" TargetMode="External"/><Relationship Id="rId93" Type="http://schemas.openxmlformats.org/officeDocument/2006/relationships/hyperlink" Target="experiments_29_09_2026/trial_128_LA_S6/viewer.html" TargetMode="External"/><Relationship Id="rId94" Type="http://schemas.openxmlformats.org/officeDocument/2006/relationships/hyperlink" Target="experiments_29_09_2026/trial_128_LA_S6/trial.mp4" TargetMode="External"/><Relationship Id="rId95" Type="http://schemas.openxmlformats.org/officeDocument/2006/relationships/hyperlink" Target="experiments_29_09_2026/trial_129_LA_S7" TargetMode="External"/><Relationship Id="rId96" Type="http://schemas.openxmlformats.org/officeDocument/2006/relationships/hyperlink" Target="experiments_29_09_2026/trial_129_LA_S7/viewer.html" TargetMode="External"/><Relationship Id="rId97" Type="http://schemas.openxmlformats.org/officeDocument/2006/relationships/hyperlink" Target="experiments_29_09_2026/trial_129_LA_S7/trial.mp4" TargetMode="External"/><Relationship Id="rId98" Type="http://schemas.openxmlformats.org/officeDocument/2006/relationships/hyperlink" Target="experiments_29_09_2026/trial_125_LA_S3" TargetMode="External"/><Relationship Id="rId99" Type="http://schemas.openxmlformats.org/officeDocument/2006/relationships/hyperlink" Target="experiments_29_09_2026/trial_125_LA_S3/viewer.html" TargetMode="External"/><Relationship Id="rId100" Type="http://schemas.openxmlformats.org/officeDocument/2006/relationships/hyperlink" Target="experiments_29_09_2026/trial_125_LA_S3/trial.mp4" TargetMode="External"/><Relationship Id="rId101" Type="http://schemas.openxmlformats.org/officeDocument/2006/relationships/drawing" Target="../drawings/drawing1.xml"/><Relationship Id="rId10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0" activeCellId="0" sqref="A20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8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36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7" min="12" style="1" width="12"/>
    <col collapsed="false" customWidth="true" hidden="false" outlineLevel="0" max="18" min="18" style="1" width="11"/>
    <col collapsed="false" customWidth="true" hidden="false" outlineLevel="0" max="19" min="19" style="1" width="10"/>
    <col collapsed="false" customWidth="true" hidden="false" outlineLevel="0" max="20" min="20" style="1" width="30"/>
    <col collapsed="false" customWidth="true" hidden="false" outlineLevel="0" max="21" min="21" style="1" width="11"/>
    <col collapsed="false" customWidth="true" hidden="false" outlineLevel="0" max="22" min="22" style="1" width="13"/>
    <col collapsed="false" customWidth="true" hidden="false" outlineLevel="0" max="23" min="23" style="1" width="11"/>
    <col collapsed="false" customWidth="true" hidden="false" outlineLevel="0" max="24" min="24" style="1" width="10"/>
    <col collapsed="false" customWidth="true" hidden="false" outlineLevel="0" max="25" min="25" style="1" width="11"/>
    <col collapsed="false" customWidth="true" hidden="false" outlineLevel="0" max="26" min="26" style="1" width="10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30" min="29" style="1" width="10"/>
    <col collapsed="false" customWidth="true" hidden="false" outlineLevel="0" max="31" min="31" style="1" width="30"/>
    <col collapsed="false" customWidth="true" hidden="false" outlineLevel="0" max="32" min="32" style="1" width="10"/>
    <col collapsed="false" customWidth="true" hidden="false" outlineLevel="0" max="33" min="33" style="1" width="26"/>
    <col collapsed="false" customWidth="true" hidden="false" outlineLevel="0" max="35" min="34" style="1" width="1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</row>
    <row r="2" customFormat="false" ht="15" hidden="false" customHeight="true" outlineLevel="0" collapsed="false">
      <c r="A2" s="3" t="s">
        <v>35</v>
      </c>
      <c r="B2" s="4" t="s">
        <v>36</v>
      </c>
      <c r="C2" s="4"/>
      <c r="D2" s="4" t="s">
        <v>37</v>
      </c>
      <c r="E2" s="4" t="s">
        <v>38</v>
      </c>
      <c r="F2" s="4" t="s">
        <v>39</v>
      </c>
      <c r="G2" s="4" t="s">
        <v>40</v>
      </c>
      <c r="H2" s="4"/>
      <c r="I2" s="4" t="s">
        <v>41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 t="s">
        <v>42</v>
      </c>
      <c r="V2" s="4"/>
      <c r="W2" s="4"/>
      <c r="X2" s="4"/>
      <c r="Y2" s="4"/>
      <c r="Z2" s="4"/>
      <c r="AA2" s="4"/>
      <c r="AB2" s="4"/>
      <c r="AC2" s="4"/>
      <c r="AD2" s="4" t="s">
        <v>43</v>
      </c>
      <c r="AE2" s="4"/>
      <c r="AF2" s="4"/>
      <c r="AG2" s="5" t="s">
        <v>44</v>
      </c>
      <c r="AI2" s="5" t="s">
        <v>45</v>
      </c>
    </row>
    <row r="3" customFormat="false" ht="15" hidden="false" customHeight="true" outlineLevel="0" collapsed="false">
      <c r="A3" s="3" t="s">
        <v>46</v>
      </c>
      <c r="B3" s="4" t="s">
        <v>36</v>
      </c>
      <c r="C3" s="4"/>
      <c r="D3" s="4" t="s">
        <v>37</v>
      </c>
      <c r="E3" s="4" t="s">
        <v>47</v>
      </c>
      <c r="F3" s="4" t="s">
        <v>48</v>
      </c>
      <c r="G3" s="4" t="s">
        <v>40</v>
      </c>
      <c r="H3" s="4"/>
      <c r="I3" s="4" t="s">
        <v>49</v>
      </c>
      <c r="J3" s="4" t="s">
        <v>50</v>
      </c>
      <c r="K3" s="4" t="s">
        <v>51</v>
      </c>
      <c r="L3" s="4"/>
      <c r="M3" s="4"/>
      <c r="N3" s="4"/>
      <c r="O3" s="4"/>
      <c r="P3" s="4"/>
      <c r="Q3" s="4"/>
      <c r="R3" s="4"/>
      <c r="S3" s="4"/>
      <c r="T3" s="4"/>
      <c r="U3" s="4" t="s">
        <v>42</v>
      </c>
      <c r="V3" s="4"/>
      <c r="W3" s="4"/>
      <c r="X3" s="4"/>
      <c r="Y3" s="4"/>
      <c r="Z3" s="4"/>
      <c r="AA3" s="4"/>
      <c r="AB3" s="4"/>
      <c r="AC3" s="4"/>
      <c r="AD3" s="4" t="s">
        <v>43</v>
      </c>
      <c r="AE3" s="4"/>
      <c r="AF3" s="4"/>
      <c r="AG3" s="5" t="s">
        <v>52</v>
      </c>
      <c r="AI3" s="5" t="s">
        <v>45</v>
      </c>
    </row>
    <row r="4" customFormat="false" ht="15" hidden="false" customHeight="true" outlineLevel="0" collapsed="false">
      <c r="A4" s="3" t="s">
        <v>53</v>
      </c>
      <c r="B4" s="4" t="s">
        <v>36</v>
      </c>
      <c r="C4" s="4"/>
      <c r="D4" s="4" t="s">
        <v>37</v>
      </c>
      <c r="E4" s="4" t="s">
        <v>54</v>
      </c>
      <c r="F4" s="4" t="s">
        <v>55</v>
      </c>
      <c r="G4" s="4" t="s">
        <v>40</v>
      </c>
      <c r="H4" s="4"/>
      <c r="I4" s="4" t="s">
        <v>56</v>
      </c>
      <c r="J4" s="4" t="s">
        <v>50</v>
      </c>
      <c r="K4" s="4" t="s">
        <v>57</v>
      </c>
      <c r="L4" s="4" t="s">
        <v>58</v>
      </c>
      <c r="M4" s="4" t="s">
        <v>58</v>
      </c>
      <c r="N4" s="4" t="s">
        <v>58</v>
      </c>
      <c r="O4" s="4" t="s">
        <v>58</v>
      </c>
      <c r="P4" s="4" t="s">
        <v>58</v>
      </c>
      <c r="Q4" s="4" t="s">
        <v>58</v>
      </c>
      <c r="R4" s="6" t="n">
        <v>5.21</v>
      </c>
      <c r="S4" s="6" t="n">
        <v>45.08</v>
      </c>
      <c r="T4" s="4"/>
      <c r="U4" s="4" t="s">
        <v>42</v>
      </c>
      <c r="V4" s="4" t="s">
        <v>59</v>
      </c>
      <c r="W4" s="4" t="s">
        <v>58</v>
      </c>
      <c r="X4" s="4" t="s">
        <v>60</v>
      </c>
      <c r="Y4" s="4" t="s">
        <v>58</v>
      </c>
      <c r="Z4" s="4" t="s">
        <v>61</v>
      </c>
      <c r="AA4" s="6" t="n">
        <v>32.542</v>
      </c>
      <c r="AB4" s="6" t="n">
        <v>21.106</v>
      </c>
      <c r="AC4" s="6" t="n">
        <v>23.974</v>
      </c>
      <c r="AD4" s="4" t="s">
        <v>43</v>
      </c>
      <c r="AE4" s="4" t="s">
        <v>62</v>
      </c>
      <c r="AF4" s="4" t="s">
        <v>63</v>
      </c>
      <c r="AG4" s="5" t="s">
        <v>64</v>
      </c>
      <c r="AH4" s="5" t="s">
        <v>65</v>
      </c>
      <c r="AI4" s="5" t="s">
        <v>45</v>
      </c>
    </row>
    <row r="5" customFormat="false" ht="15" hidden="false" customHeight="true" outlineLevel="0" collapsed="false">
      <c r="A5" s="3" t="s">
        <v>66</v>
      </c>
      <c r="B5" s="4" t="s">
        <v>36</v>
      </c>
      <c r="C5" s="4"/>
      <c r="D5" s="4" t="s">
        <v>37</v>
      </c>
      <c r="E5" s="4" t="s">
        <v>67</v>
      </c>
      <c r="F5" s="4" t="s">
        <v>68</v>
      </c>
      <c r="G5" s="4" t="s">
        <v>40</v>
      </c>
      <c r="H5" s="4"/>
      <c r="I5" s="4" t="s">
        <v>69</v>
      </c>
      <c r="J5" s="4" t="s">
        <v>70</v>
      </c>
      <c r="K5" s="4" t="s">
        <v>71</v>
      </c>
      <c r="L5" s="4" t="s">
        <v>58</v>
      </c>
      <c r="M5" s="4" t="s">
        <v>58</v>
      </c>
      <c r="N5" s="4" t="s">
        <v>58</v>
      </c>
      <c r="O5" s="4" t="s">
        <v>58</v>
      </c>
      <c r="P5" s="4" t="s">
        <v>58</v>
      </c>
      <c r="Q5" s="4" t="s">
        <v>58</v>
      </c>
      <c r="R5" s="6" t="n">
        <v>11.901</v>
      </c>
      <c r="S5" s="6" t="n">
        <v>49.555</v>
      </c>
      <c r="T5" s="4"/>
      <c r="U5" s="4" t="s">
        <v>42</v>
      </c>
      <c r="V5" s="4" t="s">
        <v>59</v>
      </c>
      <c r="W5" s="4" t="s">
        <v>58</v>
      </c>
      <c r="X5" s="4" t="s">
        <v>60</v>
      </c>
      <c r="Y5" s="4" t="s">
        <v>58</v>
      </c>
      <c r="Z5" s="4" t="s">
        <v>72</v>
      </c>
      <c r="AA5" s="6" t="n">
        <v>37.421</v>
      </c>
      <c r="AB5" s="6" t="n">
        <v>22.598</v>
      </c>
      <c r="AC5" s="6" t="n">
        <v>26.957</v>
      </c>
      <c r="AD5" s="4" t="s">
        <v>43</v>
      </c>
      <c r="AE5" s="4" t="s">
        <v>73</v>
      </c>
      <c r="AF5" s="4" t="s">
        <v>63</v>
      </c>
      <c r="AG5" s="5" t="s">
        <v>74</v>
      </c>
      <c r="AH5" s="5" t="s">
        <v>65</v>
      </c>
      <c r="AI5" s="5" t="s">
        <v>45</v>
      </c>
    </row>
    <row r="6" customFormat="false" ht="15" hidden="false" customHeight="true" outlineLevel="0" collapsed="false">
      <c r="A6" s="3" t="s">
        <v>75</v>
      </c>
      <c r="B6" s="4" t="s">
        <v>36</v>
      </c>
      <c r="C6" s="4"/>
      <c r="D6" s="4" t="s">
        <v>37</v>
      </c>
      <c r="E6" s="4" t="s">
        <v>76</v>
      </c>
      <c r="F6" s="4" t="s">
        <v>77</v>
      </c>
      <c r="G6" s="4" t="s">
        <v>40</v>
      </c>
      <c r="H6" s="4"/>
      <c r="I6" s="4" t="s">
        <v>69</v>
      </c>
      <c r="J6" s="4" t="s">
        <v>78</v>
      </c>
      <c r="K6" s="4" t="s">
        <v>57</v>
      </c>
      <c r="L6" s="4" t="s">
        <v>58</v>
      </c>
      <c r="M6" s="4" t="s">
        <v>58</v>
      </c>
      <c r="N6" s="4" t="s">
        <v>58</v>
      </c>
      <c r="O6" s="4" t="s">
        <v>58</v>
      </c>
      <c r="P6" s="4" t="s">
        <v>58</v>
      </c>
      <c r="Q6" s="4" t="s">
        <v>58</v>
      </c>
      <c r="R6" s="6" t="n">
        <v>10.304</v>
      </c>
      <c r="S6" s="6" t="n">
        <v>49.439</v>
      </c>
      <c r="T6" s="4"/>
      <c r="U6" s="4" t="s">
        <v>42</v>
      </c>
      <c r="V6" s="4" t="s">
        <v>59</v>
      </c>
      <c r="W6" s="4" t="s">
        <v>58</v>
      </c>
      <c r="X6" s="4" t="s">
        <v>60</v>
      </c>
      <c r="Y6" s="4" t="s">
        <v>58</v>
      </c>
      <c r="Z6" s="4" t="s">
        <v>79</v>
      </c>
      <c r="AA6" s="6" t="n">
        <v>37.947</v>
      </c>
      <c r="AB6" s="6" t="n">
        <v>19.917</v>
      </c>
      <c r="AC6" s="6" t="n">
        <v>29.522</v>
      </c>
      <c r="AD6" s="4" t="s">
        <v>43</v>
      </c>
      <c r="AE6" s="4" t="s">
        <v>80</v>
      </c>
      <c r="AF6" s="4" t="s">
        <v>63</v>
      </c>
      <c r="AG6" s="5" t="s">
        <v>81</v>
      </c>
      <c r="AH6" s="5" t="s">
        <v>65</v>
      </c>
      <c r="AI6" s="5" t="s">
        <v>45</v>
      </c>
    </row>
    <row r="7" customFormat="false" ht="15" hidden="false" customHeight="true" outlineLevel="0" collapsed="false">
      <c r="A7" s="3" t="s">
        <v>82</v>
      </c>
      <c r="B7" s="4" t="s">
        <v>36</v>
      </c>
      <c r="C7" s="4"/>
      <c r="D7" s="4" t="s">
        <v>37</v>
      </c>
      <c r="E7" s="7" t="s">
        <v>83</v>
      </c>
      <c r="F7" s="7" t="s">
        <v>84</v>
      </c>
      <c r="G7" s="4" t="s">
        <v>40</v>
      </c>
      <c r="H7" s="4" t="s">
        <v>85</v>
      </c>
      <c r="I7" s="4" t="s">
        <v>86</v>
      </c>
      <c r="J7" s="4" t="s">
        <v>50</v>
      </c>
      <c r="K7" s="4" t="s">
        <v>57</v>
      </c>
      <c r="L7" s="4" t="s">
        <v>58</v>
      </c>
      <c r="M7" s="4" t="s">
        <v>58</v>
      </c>
      <c r="N7" s="4" t="s">
        <v>58</v>
      </c>
      <c r="O7" s="4" t="s">
        <v>58</v>
      </c>
      <c r="P7" s="4" t="s">
        <v>58</v>
      </c>
      <c r="Q7" s="4" t="s">
        <v>58</v>
      </c>
      <c r="R7" s="6" t="n">
        <v>0.511</v>
      </c>
      <c r="S7" s="6" t="n">
        <v>47.072</v>
      </c>
      <c r="T7" s="4"/>
      <c r="U7" s="4" t="s">
        <v>87</v>
      </c>
      <c r="V7" s="4"/>
      <c r="W7" s="4" t="s">
        <v>58</v>
      </c>
      <c r="X7" s="4" t="s">
        <v>60</v>
      </c>
      <c r="Y7" s="4" t="s">
        <v>58</v>
      </c>
      <c r="Z7" s="4" t="s">
        <v>88</v>
      </c>
      <c r="AA7" s="6" t="n">
        <v>39.692</v>
      </c>
      <c r="AB7" s="6" t="n">
        <v>28.371</v>
      </c>
      <c r="AC7" s="6" t="n">
        <v>18.701</v>
      </c>
      <c r="AD7" s="4" t="s">
        <v>43</v>
      </c>
      <c r="AE7" s="4" t="s">
        <v>62</v>
      </c>
      <c r="AF7" s="4" t="s">
        <v>63</v>
      </c>
      <c r="AG7" s="5" t="s">
        <v>89</v>
      </c>
      <c r="AH7" s="5" t="s">
        <v>65</v>
      </c>
      <c r="AI7" s="5" t="s">
        <v>45</v>
      </c>
    </row>
    <row r="8" customFormat="false" ht="15" hidden="false" customHeight="true" outlineLevel="0" collapsed="false">
      <c r="A8" s="3" t="s">
        <v>90</v>
      </c>
      <c r="B8" s="4" t="s">
        <v>36</v>
      </c>
      <c r="C8" s="4"/>
      <c r="D8" s="4" t="s">
        <v>37</v>
      </c>
      <c r="E8" s="4" t="s">
        <v>38</v>
      </c>
      <c r="F8" s="4" t="s">
        <v>39</v>
      </c>
      <c r="G8" s="4" t="s">
        <v>40</v>
      </c>
      <c r="H8" s="4"/>
      <c r="I8" s="4" t="s">
        <v>91</v>
      </c>
      <c r="J8" s="4" t="s">
        <v>51</v>
      </c>
      <c r="K8" s="4" t="s">
        <v>51</v>
      </c>
      <c r="L8" s="4"/>
      <c r="M8" s="4"/>
      <c r="N8" s="4"/>
      <c r="O8" s="4"/>
      <c r="P8" s="4"/>
      <c r="Q8" s="4"/>
      <c r="R8" s="4"/>
      <c r="S8" s="4"/>
      <c r="T8" s="4"/>
      <c r="U8" s="4" t="s">
        <v>42</v>
      </c>
      <c r="V8" s="4"/>
      <c r="W8" s="4"/>
      <c r="X8" s="4"/>
      <c r="Y8" s="4"/>
      <c r="Z8" s="4"/>
      <c r="AA8" s="4"/>
      <c r="AB8" s="4"/>
      <c r="AC8" s="4"/>
      <c r="AD8" s="4" t="s">
        <v>43</v>
      </c>
      <c r="AE8" s="4"/>
      <c r="AF8" s="4"/>
      <c r="AG8" s="5" t="s">
        <v>92</v>
      </c>
      <c r="AI8" s="5" t="s">
        <v>45</v>
      </c>
    </row>
    <row r="9" customFormat="false" ht="15" hidden="false" customHeight="true" outlineLevel="0" collapsed="false">
      <c r="A9" s="3" t="s">
        <v>93</v>
      </c>
      <c r="B9" s="4" t="s">
        <v>36</v>
      </c>
      <c r="C9" s="4"/>
      <c r="D9" s="4" t="s">
        <v>37</v>
      </c>
      <c r="E9" s="4" t="s">
        <v>47</v>
      </c>
      <c r="F9" s="4" t="s">
        <v>48</v>
      </c>
      <c r="G9" s="4" t="s">
        <v>40</v>
      </c>
      <c r="H9" s="4"/>
      <c r="I9" s="4" t="s">
        <v>94</v>
      </c>
      <c r="J9" s="4" t="s">
        <v>95</v>
      </c>
      <c r="K9" s="4" t="s">
        <v>51</v>
      </c>
      <c r="L9" s="4" t="s">
        <v>58</v>
      </c>
      <c r="M9" s="4" t="s">
        <v>58</v>
      </c>
      <c r="N9" s="4"/>
      <c r="O9" s="4"/>
      <c r="P9" s="4"/>
      <c r="Q9" s="4"/>
      <c r="R9" s="4"/>
      <c r="S9" s="4"/>
      <c r="T9" s="4"/>
      <c r="U9" s="4" t="s">
        <v>42</v>
      </c>
      <c r="V9" s="4"/>
      <c r="W9" s="4"/>
      <c r="X9" s="4"/>
      <c r="Y9" s="4"/>
      <c r="Z9" s="4"/>
      <c r="AA9" s="4"/>
      <c r="AB9" s="4"/>
      <c r="AC9" s="4"/>
      <c r="AD9" s="4" t="s">
        <v>43</v>
      </c>
      <c r="AE9" s="4"/>
      <c r="AF9" s="4"/>
      <c r="AG9" s="5" t="s">
        <v>96</v>
      </c>
      <c r="AI9" s="5" t="s">
        <v>45</v>
      </c>
    </row>
    <row r="10" customFormat="false" ht="15" hidden="false" customHeight="true" outlineLevel="0" collapsed="false">
      <c r="A10" s="3" t="s">
        <v>97</v>
      </c>
      <c r="B10" s="4" t="s">
        <v>36</v>
      </c>
      <c r="C10" s="4"/>
      <c r="D10" s="4" t="s">
        <v>37</v>
      </c>
      <c r="E10" s="4" t="s">
        <v>54</v>
      </c>
      <c r="F10" s="4" t="s">
        <v>55</v>
      </c>
      <c r="G10" s="4" t="s">
        <v>40</v>
      </c>
      <c r="H10" s="4"/>
      <c r="I10" s="4" t="s">
        <v>98</v>
      </c>
      <c r="J10" s="4" t="s">
        <v>99</v>
      </c>
      <c r="K10" s="4" t="s">
        <v>71</v>
      </c>
      <c r="L10" s="4" t="s">
        <v>58</v>
      </c>
      <c r="M10" s="4" t="s">
        <v>58</v>
      </c>
      <c r="N10" s="4" t="s">
        <v>58</v>
      </c>
      <c r="O10" s="4" t="s">
        <v>58</v>
      </c>
      <c r="P10" s="4" t="s">
        <v>58</v>
      </c>
      <c r="Q10" s="4" t="s">
        <v>58</v>
      </c>
      <c r="R10" s="6" t="n">
        <v>4.194</v>
      </c>
      <c r="S10" s="6" t="n">
        <v>39.212</v>
      </c>
      <c r="T10" s="4"/>
      <c r="U10" s="4" t="s">
        <v>42</v>
      </c>
      <c r="V10" s="4" t="s">
        <v>100</v>
      </c>
      <c r="W10" s="4" t="s">
        <v>58</v>
      </c>
      <c r="X10" s="4" t="s">
        <v>60</v>
      </c>
      <c r="Y10" s="4" t="s">
        <v>58</v>
      </c>
      <c r="Z10" s="4" t="s">
        <v>101</v>
      </c>
      <c r="AA10" s="6" t="n">
        <v>29.932</v>
      </c>
      <c r="AB10" s="6" t="n">
        <v>20.712</v>
      </c>
      <c r="AC10" s="6" t="n">
        <v>18.5</v>
      </c>
      <c r="AD10" s="4" t="s">
        <v>43</v>
      </c>
      <c r="AE10" s="4" t="s">
        <v>102</v>
      </c>
      <c r="AF10" s="4" t="s">
        <v>63</v>
      </c>
      <c r="AG10" s="5" t="s">
        <v>103</v>
      </c>
      <c r="AH10" s="5" t="s">
        <v>65</v>
      </c>
      <c r="AI10" s="5" t="s">
        <v>45</v>
      </c>
    </row>
    <row r="11" customFormat="false" ht="15" hidden="false" customHeight="true" outlineLevel="0" collapsed="false">
      <c r="A11" s="3" t="s">
        <v>104</v>
      </c>
      <c r="B11" s="4" t="s">
        <v>36</v>
      </c>
      <c r="C11" s="4"/>
      <c r="D11" s="4" t="s">
        <v>37</v>
      </c>
      <c r="E11" s="4" t="s">
        <v>76</v>
      </c>
      <c r="F11" s="4" t="s">
        <v>77</v>
      </c>
      <c r="G11" s="4" t="s">
        <v>40</v>
      </c>
      <c r="H11" s="4" t="s">
        <v>85</v>
      </c>
      <c r="I11" s="4" t="s">
        <v>105</v>
      </c>
      <c r="J11" s="4" t="s">
        <v>70</v>
      </c>
      <c r="K11" s="4" t="s">
        <v>57</v>
      </c>
      <c r="L11" s="4" t="s">
        <v>58</v>
      </c>
      <c r="M11" s="4" t="s">
        <v>58</v>
      </c>
      <c r="N11" s="4" t="s">
        <v>58</v>
      </c>
      <c r="O11" s="4" t="s">
        <v>58</v>
      </c>
      <c r="P11" s="4" t="s">
        <v>58</v>
      </c>
      <c r="Q11" s="4" t="s">
        <v>58</v>
      </c>
      <c r="R11" s="6" t="n">
        <v>12.254</v>
      </c>
      <c r="S11" s="6" t="n">
        <v>44.393</v>
      </c>
      <c r="T11" s="4"/>
      <c r="U11" s="4" t="s">
        <v>42</v>
      </c>
      <c r="V11" s="4" t="s">
        <v>100</v>
      </c>
      <c r="W11" s="4" t="s">
        <v>58</v>
      </c>
      <c r="X11" s="4" t="s">
        <v>60</v>
      </c>
      <c r="Y11" s="4" t="s">
        <v>106</v>
      </c>
      <c r="Z11" s="4" t="s">
        <v>107</v>
      </c>
      <c r="AA11" s="6" t="n">
        <v>39.29</v>
      </c>
      <c r="AB11" s="6" t="n">
        <v>16.688</v>
      </c>
      <c r="AC11" s="6" t="n">
        <v>27.705</v>
      </c>
      <c r="AD11" s="4" t="s">
        <v>43</v>
      </c>
      <c r="AE11" s="4" t="s">
        <v>80</v>
      </c>
      <c r="AF11" s="4" t="s">
        <v>63</v>
      </c>
      <c r="AG11" s="5" t="s">
        <v>108</v>
      </c>
      <c r="AH11" s="5" t="s">
        <v>65</v>
      </c>
      <c r="AI11" s="5" t="s">
        <v>45</v>
      </c>
    </row>
    <row r="12" customFormat="false" ht="15" hidden="false" customHeight="true" outlineLevel="0" collapsed="false">
      <c r="A12" s="3" t="s">
        <v>109</v>
      </c>
      <c r="B12" s="4" t="s">
        <v>36</v>
      </c>
      <c r="C12" s="4"/>
      <c r="D12" s="4" t="s">
        <v>37</v>
      </c>
      <c r="E12" s="4" t="s">
        <v>67</v>
      </c>
      <c r="F12" s="4" t="s">
        <v>68</v>
      </c>
      <c r="G12" s="4" t="s">
        <v>40</v>
      </c>
      <c r="H12" s="4"/>
      <c r="I12" s="4" t="s">
        <v>69</v>
      </c>
      <c r="J12" s="4" t="s">
        <v>78</v>
      </c>
      <c r="K12" s="4" t="s">
        <v>110</v>
      </c>
      <c r="L12" s="4" t="s">
        <v>58</v>
      </c>
      <c r="M12" s="4" t="s">
        <v>58</v>
      </c>
      <c r="N12" s="4" t="s">
        <v>58</v>
      </c>
      <c r="O12" s="4" t="s">
        <v>58</v>
      </c>
      <c r="P12" s="4" t="s">
        <v>58</v>
      </c>
      <c r="Q12" s="4" t="s">
        <v>58</v>
      </c>
      <c r="R12" s="6" t="n">
        <v>12.069</v>
      </c>
      <c r="S12" s="6" t="n">
        <v>40.616</v>
      </c>
      <c r="T12" s="4"/>
      <c r="U12" s="4" t="s">
        <v>42</v>
      </c>
      <c r="V12" s="4" t="s">
        <v>59</v>
      </c>
      <c r="W12" s="4" t="s">
        <v>58</v>
      </c>
      <c r="X12" s="4" t="s">
        <v>60</v>
      </c>
      <c r="Y12" s="4" t="s">
        <v>58</v>
      </c>
      <c r="Z12" s="4" t="s">
        <v>111</v>
      </c>
      <c r="AA12" s="6" t="n">
        <v>38.474</v>
      </c>
      <c r="AB12" s="6" t="n">
        <v>14.79</v>
      </c>
      <c r="AC12" s="6" t="n">
        <v>25.826</v>
      </c>
      <c r="AD12" s="4" t="s">
        <v>43</v>
      </c>
      <c r="AE12" s="4" t="s">
        <v>112</v>
      </c>
      <c r="AF12" s="4" t="s">
        <v>63</v>
      </c>
      <c r="AG12" s="5" t="s">
        <v>113</v>
      </c>
      <c r="AH12" s="5" t="s">
        <v>65</v>
      </c>
      <c r="AI12" s="5" t="s">
        <v>45</v>
      </c>
    </row>
    <row r="13" customFormat="false" ht="15" hidden="false" customHeight="true" outlineLevel="0" collapsed="false">
      <c r="A13" s="8" t="s">
        <v>114</v>
      </c>
      <c r="B13" s="9" t="s">
        <v>36</v>
      </c>
      <c r="C13" s="9"/>
      <c r="D13" s="9" t="s">
        <v>37</v>
      </c>
      <c r="E13" s="9" t="s">
        <v>54</v>
      </c>
      <c r="F13" s="9" t="s">
        <v>55</v>
      </c>
      <c r="G13" s="9" t="s">
        <v>40</v>
      </c>
      <c r="H13" s="4"/>
      <c r="I13" s="4" t="s">
        <v>115</v>
      </c>
      <c r="J13" s="4" t="s">
        <v>99</v>
      </c>
      <c r="K13" s="4" t="s">
        <v>51</v>
      </c>
      <c r="L13" s="4"/>
      <c r="M13" s="4"/>
      <c r="N13" s="4"/>
      <c r="O13" s="4"/>
      <c r="P13" s="4"/>
      <c r="Q13" s="4"/>
      <c r="R13" s="6" t="n">
        <v>2.966</v>
      </c>
      <c r="S13" s="6" t="n">
        <v>42.285</v>
      </c>
      <c r="T13" s="4"/>
      <c r="U13" s="4" t="s">
        <v>42</v>
      </c>
      <c r="V13" s="4" t="s">
        <v>59</v>
      </c>
      <c r="W13" s="4" t="s">
        <v>58</v>
      </c>
      <c r="X13" s="4" t="s">
        <v>60</v>
      </c>
      <c r="Y13" s="4" t="s">
        <v>58</v>
      </c>
      <c r="Z13" s="4" t="s">
        <v>116</v>
      </c>
      <c r="AA13" s="6" t="n">
        <v>25.188</v>
      </c>
      <c r="AB13" s="6" t="n">
        <v>21.286</v>
      </c>
      <c r="AC13" s="6" t="n">
        <v>20.999</v>
      </c>
      <c r="AD13" s="4" t="s">
        <v>43</v>
      </c>
      <c r="AE13" s="4" t="s">
        <v>102</v>
      </c>
      <c r="AF13" s="4" t="s">
        <v>63</v>
      </c>
      <c r="AG13" s="5" t="s">
        <v>117</v>
      </c>
      <c r="AH13" s="5" t="s">
        <v>65</v>
      </c>
      <c r="AI13" s="5" t="s">
        <v>45</v>
      </c>
    </row>
    <row r="14" customFormat="false" ht="15" hidden="false" customHeight="true" outlineLevel="0" collapsed="false">
      <c r="A14" s="3" t="s">
        <v>118</v>
      </c>
      <c r="B14" s="4" t="s">
        <v>36</v>
      </c>
      <c r="C14" s="4"/>
      <c r="D14" s="4" t="s">
        <v>37</v>
      </c>
      <c r="E14" s="4" t="s">
        <v>54</v>
      </c>
      <c r="F14" s="4" t="s">
        <v>55</v>
      </c>
      <c r="G14" s="4" t="s">
        <v>40</v>
      </c>
      <c r="H14" s="4"/>
      <c r="I14" s="4" t="s">
        <v>119</v>
      </c>
      <c r="J14" s="4" t="s">
        <v>50</v>
      </c>
      <c r="K14" s="4" t="s">
        <v>110</v>
      </c>
      <c r="L14" s="4" t="s">
        <v>58</v>
      </c>
      <c r="M14" s="4" t="s">
        <v>58</v>
      </c>
      <c r="N14" s="4" t="s">
        <v>58</v>
      </c>
      <c r="O14" s="4" t="s">
        <v>58</v>
      </c>
      <c r="P14" s="4" t="s">
        <v>58</v>
      </c>
      <c r="Q14" s="4" t="s">
        <v>58</v>
      </c>
      <c r="R14" s="6" t="n">
        <v>6.371</v>
      </c>
      <c r="S14" s="6" t="n">
        <v>33.524</v>
      </c>
      <c r="T14" s="4"/>
      <c r="U14" s="4" t="s">
        <v>42</v>
      </c>
      <c r="V14" s="4" t="s">
        <v>100</v>
      </c>
      <c r="W14" s="4" t="s">
        <v>58</v>
      </c>
      <c r="X14" s="4" t="s">
        <v>60</v>
      </c>
      <c r="Y14" s="4" t="s">
        <v>58</v>
      </c>
      <c r="Z14" s="4" t="s">
        <v>120</v>
      </c>
      <c r="AA14" s="6" t="n">
        <v>33.765</v>
      </c>
      <c r="AB14" s="6" t="n">
        <v>15.565</v>
      </c>
      <c r="AC14" s="6" t="n">
        <v>17.959</v>
      </c>
      <c r="AD14" s="4" t="s">
        <v>43</v>
      </c>
      <c r="AE14" s="4" t="s">
        <v>62</v>
      </c>
      <c r="AF14" s="4" t="s">
        <v>63</v>
      </c>
      <c r="AG14" s="5" t="s">
        <v>121</v>
      </c>
      <c r="AH14" s="5" t="s">
        <v>65</v>
      </c>
      <c r="AI14" s="5" t="s">
        <v>45</v>
      </c>
    </row>
    <row r="15" customFormat="false" ht="15" hidden="false" customHeight="true" outlineLevel="0" collapsed="false">
      <c r="A15" s="3" t="s">
        <v>122</v>
      </c>
      <c r="B15" s="4" t="s">
        <v>36</v>
      </c>
      <c r="C15" s="4"/>
      <c r="D15" s="4" t="s">
        <v>37</v>
      </c>
      <c r="E15" s="4" t="s">
        <v>67</v>
      </c>
      <c r="F15" s="4" t="s">
        <v>68</v>
      </c>
      <c r="G15" s="4" t="s">
        <v>40</v>
      </c>
      <c r="H15" s="4" t="s">
        <v>123</v>
      </c>
      <c r="I15" s="4" t="s">
        <v>124</v>
      </c>
      <c r="J15" s="4" t="s">
        <v>70</v>
      </c>
      <c r="K15" s="4" t="s">
        <v>57</v>
      </c>
      <c r="L15" s="4" t="s">
        <v>58</v>
      </c>
      <c r="M15" s="4" t="s">
        <v>58</v>
      </c>
      <c r="N15" s="4" t="s">
        <v>58</v>
      </c>
      <c r="O15" s="4" t="s">
        <v>58</v>
      </c>
      <c r="P15" s="4" t="s">
        <v>58</v>
      </c>
      <c r="Q15" s="4" t="s">
        <v>58</v>
      </c>
      <c r="R15" s="6" t="n">
        <v>21.338</v>
      </c>
      <c r="S15" s="6" t="n">
        <v>81.227</v>
      </c>
      <c r="T15" s="4"/>
      <c r="U15" s="4" t="s">
        <v>42</v>
      </c>
      <c r="V15" s="4" t="s">
        <v>59</v>
      </c>
      <c r="W15" s="4" t="s">
        <v>58</v>
      </c>
      <c r="X15" s="4" t="s">
        <v>60</v>
      </c>
      <c r="Y15" s="4" t="s">
        <v>58</v>
      </c>
      <c r="Z15" s="4" t="s">
        <v>125</v>
      </c>
      <c r="AA15" s="6" t="n">
        <v>62.726</v>
      </c>
      <c r="AB15" s="6" t="n">
        <v>34.836</v>
      </c>
      <c r="AC15" s="6" t="n">
        <v>46.391</v>
      </c>
      <c r="AD15" s="4" t="s">
        <v>43</v>
      </c>
      <c r="AE15" s="4" t="s">
        <v>73</v>
      </c>
      <c r="AF15" s="4" t="s">
        <v>63</v>
      </c>
      <c r="AG15" s="5" t="s">
        <v>126</v>
      </c>
      <c r="AH15" s="5" t="s">
        <v>65</v>
      </c>
      <c r="AI15" s="5" t="s">
        <v>45</v>
      </c>
    </row>
    <row r="16" customFormat="false" ht="15" hidden="false" customHeight="true" outlineLevel="0" collapsed="false">
      <c r="A16" s="3" t="s">
        <v>127</v>
      </c>
      <c r="B16" s="4" t="s">
        <v>36</v>
      </c>
      <c r="C16" s="4"/>
      <c r="D16" s="4" t="s">
        <v>37</v>
      </c>
      <c r="E16" s="4" t="s">
        <v>38</v>
      </c>
      <c r="F16" s="4" t="s">
        <v>39</v>
      </c>
      <c r="G16" s="4" t="s">
        <v>40</v>
      </c>
      <c r="H16" s="4"/>
      <c r="I16" s="4" t="s">
        <v>128</v>
      </c>
      <c r="J16" s="4" t="s">
        <v>51</v>
      </c>
      <c r="K16" s="4" t="s">
        <v>51</v>
      </c>
      <c r="L16" s="4"/>
      <c r="M16" s="4"/>
      <c r="N16" s="4"/>
      <c r="O16" s="4"/>
      <c r="P16" s="4"/>
      <c r="Q16" s="4"/>
      <c r="R16" s="4"/>
      <c r="S16" s="4"/>
      <c r="T16" s="4"/>
      <c r="U16" s="4" t="s">
        <v>42</v>
      </c>
      <c r="V16" s="4"/>
      <c r="W16" s="4"/>
      <c r="X16" s="4"/>
      <c r="Y16" s="4"/>
      <c r="Z16" s="4"/>
      <c r="AA16" s="4"/>
      <c r="AB16" s="4"/>
      <c r="AC16" s="4"/>
      <c r="AD16" s="4" t="s">
        <v>43</v>
      </c>
      <c r="AE16" s="4"/>
      <c r="AF16" s="4"/>
      <c r="AG16" s="5" t="s">
        <v>129</v>
      </c>
      <c r="AI16" s="5" t="s">
        <v>45</v>
      </c>
    </row>
    <row r="17" customFormat="false" ht="15" hidden="false" customHeight="true" outlineLevel="0" collapsed="false">
      <c r="A17" s="3" t="s">
        <v>130</v>
      </c>
      <c r="B17" s="4" t="s">
        <v>36</v>
      </c>
      <c r="C17" s="4"/>
      <c r="D17" s="4" t="s">
        <v>37</v>
      </c>
      <c r="E17" s="4" t="s">
        <v>47</v>
      </c>
      <c r="F17" s="4" t="s">
        <v>48</v>
      </c>
      <c r="G17" s="4" t="s">
        <v>40</v>
      </c>
      <c r="H17" s="4"/>
      <c r="I17" s="4" t="s">
        <v>131</v>
      </c>
      <c r="J17" s="4" t="s">
        <v>132</v>
      </c>
      <c r="K17" s="4" t="s">
        <v>51</v>
      </c>
      <c r="L17" s="4"/>
      <c r="M17" s="4"/>
      <c r="N17" s="4"/>
      <c r="O17" s="4"/>
      <c r="P17" s="4"/>
      <c r="Q17" s="4"/>
      <c r="R17" s="4"/>
      <c r="S17" s="4"/>
      <c r="T17" s="4"/>
      <c r="U17" s="4" t="s">
        <v>42</v>
      </c>
      <c r="V17" s="4" t="s">
        <v>59</v>
      </c>
      <c r="W17" s="4"/>
      <c r="X17" s="4"/>
      <c r="Y17" s="4"/>
      <c r="Z17" s="4"/>
      <c r="AA17" s="4"/>
      <c r="AB17" s="4"/>
      <c r="AC17" s="4"/>
      <c r="AD17" s="4" t="s">
        <v>43</v>
      </c>
      <c r="AE17" s="4"/>
      <c r="AF17" s="4"/>
      <c r="AG17" s="5" t="s">
        <v>133</v>
      </c>
      <c r="AI17" s="5" t="s">
        <v>45</v>
      </c>
    </row>
    <row r="18" customFormat="false" ht="15" hidden="false" customHeight="true" outlineLevel="0" collapsed="false">
      <c r="A18" s="3" t="s">
        <v>134</v>
      </c>
      <c r="B18" s="4" t="s">
        <v>36</v>
      </c>
      <c r="C18" s="4"/>
      <c r="D18" s="4" t="s">
        <v>37</v>
      </c>
      <c r="E18" s="4" t="s">
        <v>54</v>
      </c>
      <c r="F18" s="4" t="s">
        <v>55</v>
      </c>
      <c r="G18" s="4" t="s">
        <v>40</v>
      </c>
      <c r="H18" s="4" t="s">
        <v>85</v>
      </c>
      <c r="I18" s="4" t="s">
        <v>135</v>
      </c>
      <c r="J18" s="4" t="s">
        <v>99</v>
      </c>
      <c r="K18" s="4" t="s">
        <v>110</v>
      </c>
      <c r="L18" s="4" t="s">
        <v>58</v>
      </c>
      <c r="M18" s="4" t="s">
        <v>58</v>
      </c>
      <c r="N18" s="4" t="s">
        <v>58</v>
      </c>
      <c r="O18" s="4" t="s">
        <v>58</v>
      </c>
      <c r="P18" s="4" t="s">
        <v>58</v>
      </c>
      <c r="Q18" s="4" t="s">
        <v>58</v>
      </c>
      <c r="R18" s="6" t="n">
        <v>3.759</v>
      </c>
      <c r="S18" s="6" t="n">
        <v>28.08</v>
      </c>
      <c r="T18" s="4"/>
      <c r="U18" s="4" t="s">
        <v>42</v>
      </c>
      <c r="V18" s="4" t="s">
        <v>100</v>
      </c>
      <c r="W18" s="4" t="s">
        <v>58</v>
      </c>
      <c r="X18" s="4" t="s">
        <v>60</v>
      </c>
      <c r="Y18" s="4" t="s">
        <v>58</v>
      </c>
      <c r="Z18" s="4" t="s">
        <v>136</v>
      </c>
      <c r="AA18" s="6" t="n">
        <v>25.893</v>
      </c>
      <c r="AB18" s="6" t="n">
        <v>9.713</v>
      </c>
      <c r="AC18" s="6" t="n">
        <v>18.367</v>
      </c>
      <c r="AD18" s="4" t="s">
        <v>43</v>
      </c>
      <c r="AE18" s="4"/>
      <c r="AF18" s="4"/>
      <c r="AG18" s="5" t="s">
        <v>137</v>
      </c>
      <c r="AI18" s="5" t="s">
        <v>45</v>
      </c>
    </row>
    <row r="19" customFormat="false" ht="15" hidden="false" customHeight="true" outlineLevel="0" collapsed="false">
      <c r="A19" s="3" t="s">
        <v>138</v>
      </c>
      <c r="B19" s="4" t="s">
        <v>36</v>
      </c>
      <c r="C19" s="4"/>
      <c r="D19" s="4" t="s">
        <v>37</v>
      </c>
      <c r="E19" s="4" t="s">
        <v>67</v>
      </c>
      <c r="F19" s="4" t="s">
        <v>68</v>
      </c>
      <c r="G19" s="4" t="s">
        <v>40</v>
      </c>
      <c r="H19" s="4"/>
      <c r="I19" s="4" t="s">
        <v>69</v>
      </c>
      <c r="J19" s="4" t="s">
        <v>70</v>
      </c>
      <c r="K19" s="4" t="s">
        <v>110</v>
      </c>
      <c r="L19" s="4" t="s">
        <v>58</v>
      </c>
      <c r="M19" s="4" t="s">
        <v>58</v>
      </c>
      <c r="N19" s="4" t="s">
        <v>58</v>
      </c>
      <c r="O19" s="4" t="s">
        <v>58</v>
      </c>
      <c r="P19" s="4" t="s">
        <v>58</v>
      </c>
      <c r="Q19" s="4" t="s">
        <v>58</v>
      </c>
      <c r="R19" s="6" t="n">
        <v>12.288</v>
      </c>
      <c r="S19" s="6" t="n">
        <v>41.687</v>
      </c>
      <c r="T19" s="4"/>
      <c r="U19" s="4" t="s">
        <v>42</v>
      </c>
      <c r="V19" s="4" t="s">
        <v>100</v>
      </c>
      <c r="W19" s="4" t="s">
        <v>58</v>
      </c>
      <c r="X19" s="4" t="s">
        <v>60</v>
      </c>
      <c r="Y19" s="4" t="s">
        <v>58</v>
      </c>
      <c r="Z19" s="4" t="s">
        <v>139</v>
      </c>
      <c r="AA19" s="6" t="n">
        <v>39.452</v>
      </c>
      <c r="AB19" s="6" t="n">
        <v>14.872</v>
      </c>
      <c r="AC19" s="6" t="n">
        <v>26.815</v>
      </c>
      <c r="AD19" s="4" t="s">
        <v>43</v>
      </c>
      <c r="AE19" s="4"/>
      <c r="AF19" s="4"/>
      <c r="AG19" s="5" t="s">
        <v>140</v>
      </c>
      <c r="AI19" s="5" t="s">
        <v>45</v>
      </c>
    </row>
    <row r="20" customFormat="false" ht="15" hidden="false" customHeight="true" outlineLevel="0" collapsed="false">
      <c r="A20" s="3" t="s">
        <v>141</v>
      </c>
      <c r="B20" s="4" t="s">
        <v>36</v>
      </c>
      <c r="C20" s="4"/>
      <c r="D20" s="4" t="s">
        <v>37</v>
      </c>
      <c r="E20" s="7" t="s">
        <v>76</v>
      </c>
      <c r="F20" s="7" t="s">
        <v>77</v>
      </c>
      <c r="G20" s="4" t="s">
        <v>40</v>
      </c>
      <c r="H20" s="4" t="s">
        <v>85</v>
      </c>
      <c r="I20" s="4" t="s">
        <v>69</v>
      </c>
      <c r="J20" s="4" t="s">
        <v>70</v>
      </c>
      <c r="K20" s="4" t="s">
        <v>57</v>
      </c>
      <c r="L20" s="4" t="s">
        <v>58</v>
      </c>
      <c r="M20" s="4" t="s">
        <v>58</v>
      </c>
      <c r="N20" s="4" t="s">
        <v>58</v>
      </c>
      <c r="O20" s="4" t="s">
        <v>58</v>
      </c>
      <c r="P20" s="4" t="s">
        <v>58</v>
      </c>
      <c r="Q20" s="4" t="s">
        <v>58</v>
      </c>
      <c r="R20" s="6" t="n">
        <v>26.027</v>
      </c>
      <c r="S20" s="6" t="n">
        <v>62.865</v>
      </c>
      <c r="T20" s="4" t="s">
        <v>142</v>
      </c>
      <c r="U20" s="4" t="s">
        <v>42</v>
      </c>
      <c r="V20" s="4" t="s">
        <v>59</v>
      </c>
      <c r="W20" s="4" t="s">
        <v>58</v>
      </c>
      <c r="X20" s="4" t="s">
        <v>60</v>
      </c>
      <c r="Y20" s="4" t="s">
        <v>58</v>
      </c>
      <c r="Z20" s="4" t="s">
        <v>143</v>
      </c>
      <c r="AA20" s="6" t="n">
        <v>56.328</v>
      </c>
      <c r="AB20" s="6" t="n">
        <v>32.296</v>
      </c>
      <c r="AC20" s="6" t="n">
        <v>30.569</v>
      </c>
      <c r="AD20" s="4" t="s">
        <v>43</v>
      </c>
      <c r="AE20" s="4"/>
      <c r="AF20" s="4"/>
      <c r="AG20" s="5" t="s">
        <v>144</v>
      </c>
      <c r="AI20" s="5" t="s">
        <v>45</v>
      </c>
    </row>
    <row r="21" customFormat="false" ht="15" hidden="false" customHeight="true" outlineLevel="0" collapsed="false">
      <c r="A21" s="3" t="s">
        <v>145</v>
      </c>
      <c r="B21" s="4" t="s">
        <v>36</v>
      </c>
      <c r="C21" s="4"/>
      <c r="D21" s="4" t="s">
        <v>37</v>
      </c>
      <c r="E21" s="7" t="s">
        <v>83</v>
      </c>
      <c r="F21" s="7" t="s">
        <v>84</v>
      </c>
      <c r="G21" s="4" t="s">
        <v>40</v>
      </c>
      <c r="H21" s="4" t="s">
        <v>85</v>
      </c>
      <c r="I21" s="4" t="s">
        <v>146</v>
      </c>
      <c r="J21" s="4" t="s">
        <v>50</v>
      </c>
      <c r="K21" s="4" t="s">
        <v>57</v>
      </c>
      <c r="L21" s="4" t="s">
        <v>58</v>
      </c>
      <c r="M21" s="4" t="s">
        <v>58</v>
      </c>
      <c r="N21" s="4" t="s">
        <v>58</v>
      </c>
      <c r="O21" s="4" t="s">
        <v>58</v>
      </c>
      <c r="P21" s="4" t="s">
        <v>58</v>
      </c>
      <c r="Q21" s="4" t="s">
        <v>58</v>
      </c>
      <c r="R21" s="6" t="n">
        <v>1.465</v>
      </c>
      <c r="S21" s="6" t="n">
        <v>28.187</v>
      </c>
      <c r="T21" s="4"/>
      <c r="U21" s="4" t="s">
        <v>42</v>
      </c>
      <c r="V21" s="4" t="s">
        <v>59</v>
      </c>
      <c r="W21" s="4" t="s">
        <v>58</v>
      </c>
      <c r="X21" s="4" t="s">
        <v>60</v>
      </c>
      <c r="Y21" s="4" t="s">
        <v>58</v>
      </c>
      <c r="Z21" s="4" t="s">
        <v>147</v>
      </c>
      <c r="AA21" s="6" t="n">
        <v>21.35</v>
      </c>
      <c r="AB21" s="6" t="n">
        <v>20.118</v>
      </c>
      <c r="AC21" s="6" t="n">
        <v>8.069</v>
      </c>
      <c r="AD21" s="4" t="s">
        <v>43</v>
      </c>
      <c r="AE21" s="4"/>
      <c r="AF21" s="4"/>
      <c r="AG21" s="5" t="s">
        <v>148</v>
      </c>
      <c r="AI21" s="5" t="s">
        <v>45</v>
      </c>
    </row>
    <row r="22" customFormat="false" ht="15" hidden="false" customHeight="true" outlineLevel="0" collapsed="false">
      <c r="A22" s="3" t="s">
        <v>149</v>
      </c>
      <c r="B22" s="4" t="s">
        <v>36</v>
      </c>
      <c r="C22" s="4"/>
      <c r="D22" s="4" t="s">
        <v>37</v>
      </c>
      <c r="E22" s="4" t="s">
        <v>150</v>
      </c>
      <c r="F22" s="4" t="s">
        <v>151</v>
      </c>
      <c r="G22" s="4" t="s">
        <v>40</v>
      </c>
      <c r="H22" s="4" t="s">
        <v>85</v>
      </c>
      <c r="I22" s="4" t="s">
        <v>152</v>
      </c>
      <c r="J22" s="4" t="s">
        <v>51</v>
      </c>
      <c r="K22" s="4" t="s">
        <v>51</v>
      </c>
      <c r="L22" s="4"/>
      <c r="M22" s="4"/>
      <c r="N22" s="4"/>
      <c r="O22" s="4"/>
      <c r="P22" s="4"/>
      <c r="Q22" s="4"/>
      <c r="R22" s="6" t="n">
        <v>3.814</v>
      </c>
      <c r="S22" s="4"/>
      <c r="T22" s="4"/>
      <c r="U22" s="4" t="s">
        <v>42</v>
      </c>
      <c r="V22" s="4" t="s">
        <v>100</v>
      </c>
      <c r="W22" s="4"/>
      <c r="X22" s="4"/>
      <c r="Y22" s="4"/>
      <c r="Z22" s="4"/>
      <c r="AA22" s="4"/>
      <c r="AB22" s="4"/>
      <c r="AC22" s="4"/>
      <c r="AD22" s="4" t="s">
        <v>43</v>
      </c>
      <c r="AE22" s="4"/>
      <c r="AF22" s="4"/>
      <c r="AG22" s="5" t="s">
        <v>153</v>
      </c>
      <c r="AI22" s="5" t="s">
        <v>45</v>
      </c>
    </row>
    <row r="23" customFormat="false" ht="15" hidden="false" customHeight="true" outlineLevel="0" collapsed="false">
      <c r="A23" s="3" t="s">
        <v>154</v>
      </c>
      <c r="B23" s="4" t="s">
        <v>155</v>
      </c>
      <c r="C23" s="4"/>
      <c r="D23" s="4" t="s">
        <v>37</v>
      </c>
      <c r="E23" s="4" t="s">
        <v>150</v>
      </c>
      <c r="F23" s="4" t="s">
        <v>151</v>
      </c>
      <c r="G23" s="4" t="s">
        <v>40</v>
      </c>
      <c r="H23" s="4" t="s">
        <v>85</v>
      </c>
      <c r="I23" s="4" t="s">
        <v>156</v>
      </c>
      <c r="J23" s="4" t="s">
        <v>51</v>
      </c>
      <c r="K23" s="4" t="s">
        <v>51</v>
      </c>
      <c r="L23" s="4" t="s">
        <v>58</v>
      </c>
      <c r="M23" s="4"/>
      <c r="N23" s="4"/>
      <c r="O23" s="4"/>
      <c r="P23" s="4"/>
      <c r="Q23" s="4" t="s">
        <v>58</v>
      </c>
      <c r="R23" s="6" t="n">
        <v>9.284</v>
      </c>
      <c r="S23" s="4"/>
      <c r="T23" s="4"/>
      <c r="U23" s="4" t="s">
        <v>42</v>
      </c>
      <c r="V23" s="4" t="s">
        <v>100</v>
      </c>
      <c r="W23" s="4"/>
      <c r="X23" s="4"/>
      <c r="Y23" s="4"/>
      <c r="Z23" s="4"/>
      <c r="AA23" s="4"/>
      <c r="AB23" s="4"/>
      <c r="AC23" s="4"/>
      <c r="AD23" s="4" t="s">
        <v>43</v>
      </c>
      <c r="AE23" s="4" t="s">
        <v>157</v>
      </c>
      <c r="AF23" s="4" t="s">
        <v>63</v>
      </c>
      <c r="AG23" s="5" t="s">
        <v>158</v>
      </c>
      <c r="AH23" s="5" t="s">
        <v>65</v>
      </c>
      <c r="AI23" s="5" t="s">
        <v>45</v>
      </c>
    </row>
    <row r="24" customFormat="false" ht="15" hidden="false" customHeight="true" outlineLevel="0" collapsed="false">
      <c r="A24" s="3" t="s">
        <v>159</v>
      </c>
      <c r="B24" s="4" t="s">
        <v>155</v>
      </c>
      <c r="C24" s="4"/>
      <c r="D24" s="4" t="s">
        <v>37</v>
      </c>
      <c r="E24" s="4" t="s">
        <v>150</v>
      </c>
      <c r="F24" s="4" t="s">
        <v>151</v>
      </c>
      <c r="G24" s="4" t="s">
        <v>40</v>
      </c>
      <c r="H24" s="4" t="s">
        <v>85</v>
      </c>
      <c r="I24" s="4" t="s">
        <v>160</v>
      </c>
      <c r="J24" s="4" t="s">
        <v>51</v>
      </c>
      <c r="K24" s="4" t="s">
        <v>51</v>
      </c>
      <c r="L24" s="4" t="s">
        <v>58</v>
      </c>
      <c r="M24" s="4"/>
      <c r="N24" s="4"/>
      <c r="O24" s="4"/>
      <c r="P24" s="4"/>
      <c r="Q24" s="4" t="s">
        <v>58</v>
      </c>
      <c r="R24" s="6" t="n">
        <v>5.12</v>
      </c>
      <c r="S24" s="4"/>
      <c r="T24" s="4"/>
      <c r="U24" s="4" t="s">
        <v>42</v>
      </c>
      <c r="V24" s="4" t="s">
        <v>100</v>
      </c>
      <c r="W24" s="4"/>
      <c r="X24" s="4"/>
      <c r="Y24" s="4"/>
      <c r="Z24" s="4"/>
      <c r="AA24" s="4"/>
      <c r="AB24" s="4"/>
      <c r="AC24" s="4"/>
      <c r="AD24" s="4" t="s">
        <v>43</v>
      </c>
      <c r="AE24" s="4" t="s">
        <v>161</v>
      </c>
      <c r="AF24" s="4" t="s">
        <v>63</v>
      </c>
      <c r="AG24" s="5" t="s">
        <v>162</v>
      </c>
      <c r="AH24" s="5" t="s">
        <v>65</v>
      </c>
      <c r="AI24" s="5" t="s">
        <v>45</v>
      </c>
    </row>
    <row r="25" customFormat="false" ht="15" hidden="false" customHeight="true" outlineLevel="0" collapsed="false">
      <c r="A25" s="3" t="s">
        <v>163</v>
      </c>
      <c r="B25" s="4" t="s">
        <v>155</v>
      </c>
      <c r="C25" s="4"/>
      <c r="D25" s="4" t="s">
        <v>37</v>
      </c>
      <c r="E25" s="4" t="s">
        <v>83</v>
      </c>
      <c r="F25" s="4" t="s">
        <v>84</v>
      </c>
      <c r="G25" s="4" t="s">
        <v>40</v>
      </c>
      <c r="H25" s="4"/>
      <c r="I25" s="4" t="s">
        <v>164</v>
      </c>
      <c r="J25" s="4" t="s">
        <v>99</v>
      </c>
      <c r="K25" s="4" t="s">
        <v>57</v>
      </c>
      <c r="L25" s="4" t="s">
        <v>58</v>
      </c>
      <c r="M25" s="4" t="s">
        <v>58</v>
      </c>
      <c r="N25" s="4" t="s">
        <v>58</v>
      </c>
      <c r="O25" s="4" t="s">
        <v>58</v>
      </c>
      <c r="P25" s="4" t="s">
        <v>58</v>
      </c>
      <c r="Q25" s="4" t="s">
        <v>58</v>
      </c>
      <c r="R25" s="6" t="n">
        <v>6.231</v>
      </c>
      <c r="S25" s="6" t="n">
        <v>43.208</v>
      </c>
      <c r="T25" s="4"/>
      <c r="U25" s="4" t="s">
        <v>42</v>
      </c>
      <c r="V25" s="4" t="s">
        <v>100</v>
      </c>
      <c r="W25" s="4" t="s">
        <v>58</v>
      </c>
      <c r="X25" s="4" t="s">
        <v>60</v>
      </c>
      <c r="Y25" s="4" t="s">
        <v>106</v>
      </c>
      <c r="Z25" s="4" t="s">
        <v>165</v>
      </c>
      <c r="AA25" s="6" t="n">
        <v>36.388</v>
      </c>
      <c r="AB25" s="6" t="n">
        <v>26.749</v>
      </c>
      <c r="AC25" s="6" t="n">
        <v>16.459</v>
      </c>
      <c r="AD25" s="4" t="s">
        <v>43</v>
      </c>
      <c r="AE25" s="4" t="s">
        <v>102</v>
      </c>
      <c r="AF25" s="4" t="s">
        <v>63</v>
      </c>
      <c r="AG25" s="5" t="s">
        <v>166</v>
      </c>
      <c r="AH25" s="5" t="s">
        <v>65</v>
      </c>
      <c r="AI25" s="5" t="s">
        <v>45</v>
      </c>
    </row>
    <row r="26" customFormat="false" ht="15" hidden="false" customHeight="true" outlineLevel="0" collapsed="false">
      <c r="A26" s="3" t="s">
        <v>167</v>
      </c>
      <c r="B26" s="4" t="s">
        <v>155</v>
      </c>
      <c r="C26" s="4"/>
      <c r="D26" s="4" t="s">
        <v>37</v>
      </c>
      <c r="E26" s="4" t="s">
        <v>38</v>
      </c>
      <c r="F26" s="4" t="s">
        <v>39</v>
      </c>
      <c r="G26" s="4" t="s">
        <v>40</v>
      </c>
      <c r="H26" s="4"/>
      <c r="I26" s="4" t="s">
        <v>168</v>
      </c>
      <c r="J26" s="4" t="s">
        <v>51</v>
      </c>
      <c r="K26" s="4" t="s">
        <v>51</v>
      </c>
      <c r="L26" s="4"/>
      <c r="M26" s="4"/>
      <c r="N26" s="4"/>
      <c r="O26" s="4"/>
      <c r="P26" s="4"/>
      <c r="Q26" s="4"/>
      <c r="R26" s="4"/>
      <c r="S26" s="4"/>
      <c r="T26" s="4"/>
      <c r="U26" s="4" t="s">
        <v>42</v>
      </c>
      <c r="V26" s="4"/>
      <c r="W26" s="4"/>
      <c r="X26" s="4"/>
      <c r="Y26" s="4"/>
      <c r="Z26" s="4"/>
      <c r="AA26" s="4"/>
      <c r="AB26" s="4"/>
      <c r="AC26" s="4"/>
      <c r="AD26" s="4" t="s">
        <v>43</v>
      </c>
      <c r="AE26" s="4"/>
      <c r="AF26" s="4"/>
      <c r="AG26" s="5" t="s">
        <v>169</v>
      </c>
      <c r="AI26" s="5" t="s">
        <v>45</v>
      </c>
    </row>
    <row r="27" customFormat="false" ht="15" hidden="false" customHeight="true" outlineLevel="0" collapsed="false">
      <c r="A27" s="3" t="s">
        <v>170</v>
      </c>
      <c r="B27" s="4" t="s">
        <v>155</v>
      </c>
      <c r="C27" s="4"/>
      <c r="D27" s="4" t="s">
        <v>37</v>
      </c>
      <c r="E27" s="4" t="s">
        <v>47</v>
      </c>
      <c r="F27" s="4" t="s">
        <v>48</v>
      </c>
      <c r="G27" s="4" t="s">
        <v>40</v>
      </c>
      <c r="H27" s="4"/>
      <c r="I27" s="4" t="s">
        <v>171</v>
      </c>
      <c r="J27" s="4" t="s">
        <v>172</v>
      </c>
      <c r="K27" s="4" t="s">
        <v>51</v>
      </c>
      <c r="L27" s="4"/>
      <c r="M27" s="4"/>
      <c r="N27" s="4"/>
      <c r="O27" s="4"/>
      <c r="P27" s="4"/>
      <c r="Q27" s="4"/>
      <c r="R27" s="4"/>
      <c r="S27" s="4"/>
      <c r="T27" s="4"/>
      <c r="U27" s="4" t="s">
        <v>42</v>
      </c>
      <c r="V27" s="4"/>
      <c r="W27" s="4"/>
      <c r="X27" s="4"/>
      <c r="Y27" s="4"/>
      <c r="Z27" s="4"/>
      <c r="AA27" s="4"/>
      <c r="AB27" s="4"/>
      <c r="AC27" s="4"/>
      <c r="AD27" s="4" t="s">
        <v>43</v>
      </c>
      <c r="AE27" s="4"/>
      <c r="AF27" s="4"/>
      <c r="AG27" s="5" t="s">
        <v>173</v>
      </c>
      <c r="AI27" s="5" t="s">
        <v>45</v>
      </c>
    </row>
    <row r="28" customFormat="false" ht="15" hidden="false" customHeight="true" outlineLevel="0" collapsed="false">
      <c r="A28" s="3" t="s">
        <v>174</v>
      </c>
      <c r="B28" s="4" t="s">
        <v>155</v>
      </c>
      <c r="C28" s="4"/>
      <c r="D28" s="4" t="s">
        <v>37</v>
      </c>
      <c r="E28" s="4" t="s">
        <v>38</v>
      </c>
      <c r="F28" s="4" t="s">
        <v>39</v>
      </c>
      <c r="G28" s="4" t="s">
        <v>40</v>
      </c>
      <c r="H28" s="4" t="s">
        <v>85</v>
      </c>
      <c r="I28" s="4" t="s">
        <v>175</v>
      </c>
      <c r="J28" s="4" t="s">
        <v>50</v>
      </c>
      <c r="K28" s="4" t="s">
        <v>71</v>
      </c>
      <c r="L28" s="4" t="s">
        <v>58</v>
      </c>
      <c r="M28" s="4" t="s">
        <v>58</v>
      </c>
      <c r="N28" s="4" t="s">
        <v>58</v>
      </c>
      <c r="O28" s="4" t="s">
        <v>58</v>
      </c>
      <c r="P28" s="4" t="s">
        <v>58</v>
      </c>
      <c r="Q28" s="4" t="s">
        <v>58</v>
      </c>
      <c r="R28" s="6" t="n">
        <v>4.319</v>
      </c>
      <c r="S28" s="6" t="n">
        <v>31.686</v>
      </c>
      <c r="T28" s="4"/>
      <c r="U28" s="4" t="s">
        <v>42</v>
      </c>
      <c r="V28" s="4" t="s">
        <v>100</v>
      </c>
      <c r="W28" s="4" t="s">
        <v>58</v>
      </c>
      <c r="X28" s="4" t="s">
        <v>60</v>
      </c>
      <c r="Y28" s="4" t="s">
        <v>58</v>
      </c>
      <c r="Z28" s="4" t="s">
        <v>176</v>
      </c>
      <c r="AA28" s="6" t="n">
        <v>25.51</v>
      </c>
      <c r="AB28" s="6" t="n">
        <v>10.643</v>
      </c>
      <c r="AC28" s="6" t="n">
        <v>21.043</v>
      </c>
      <c r="AD28" s="4" t="s">
        <v>43</v>
      </c>
      <c r="AE28" s="4" t="s">
        <v>177</v>
      </c>
      <c r="AF28" s="4" t="s">
        <v>63</v>
      </c>
      <c r="AG28" s="5" t="s">
        <v>178</v>
      </c>
      <c r="AH28" s="5" t="s">
        <v>65</v>
      </c>
      <c r="AI28" s="5" t="s">
        <v>45</v>
      </c>
    </row>
    <row r="29" customFormat="false" ht="15" hidden="false" customHeight="true" outlineLevel="0" collapsed="false">
      <c r="A29" s="3" t="s">
        <v>179</v>
      </c>
      <c r="B29" s="4" t="s">
        <v>155</v>
      </c>
      <c r="C29" s="4"/>
      <c r="D29" s="4" t="s">
        <v>37</v>
      </c>
      <c r="E29" s="4" t="s">
        <v>67</v>
      </c>
      <c r="F29" s="4" t="s">
        <v>68</v>
      </c>
      <c r="G29" s="4" t="s">
        <v>40</v>
      </c>
      <c r="H29" s="4"/>
      <c r="I29" s="4" t="s">
        <v>180</v>
      </c>
      <c r="J29" s="4" t="s">
        <v>70</v>
      </c>
      <c r="K29" s="4" t="s">
        <v>57</v>
      </c>
      <c r="L29" s="4" t="s">
        <v>58</v>
      </c>
      <c r="M29" s="4" t="s">
        <v>58</v>
      </c>
      <c r="N29" s="4" t="s">
        <v>58</v>
      </c>
      <c r="O29" s="4" t="s">
        <v>58</v>
      </c>
      <c r="P29" s="4" t="s">
        <v>58</v>
      </c>
      <c r="Q29" s="4" t="s">
        <v>58</v>
      </c>
      <c r="R29" s="6" t="n">
        <v>20.473</v>
      </c>
      <c r="S29" s="6" t="n">
        <v>58.464</v>
      </c>
      <c r="T29" s="4"/>
      <c r="U29" s="4" t="s">
        <v>42</v>
      </c>
      <c r="V29" s="4" t="s">
        <v>100</v>
      </c>
      <c r="W29" s="4" t="s">
        <v>106</v>
      </c>
      <c r="X29" s="4" t="s">
        <v>60</v>
      </c>
      <c r="Y29" s="4" t="s">
        <v>106</v>
      </c>
      <c r="Z29" s="4" t="s">
        <v>181</v>
      </c>
      <c r="AA29" s="6" t="n">
        <v>47.074</v>
      </c>
      <c r="AB29" s="6" t="n">
        <v>19.485</v>
      </c>
      <c r="AC29" s="6" t="n">
        <v>38.979</v>
      </c>
      <c r="AD29" s="4" t="s">
        <v>43</v>
      </c>
      <c r="AE29" s="4" t="s">
        <v>112</v>
      </c>
      <c r="AF29" s="4" t="s">
        <v>63</v>
      </c>
      <c r="AG29" s="5" t="s">
        <v>182</v>
      </c>
      <c r="AH29" s="5" t="s">
        <v>65</v>
      </c>
      <c r="AI29" s="5" t="s">
        <v>45</v>
      </c>
    </row>
    <row r="30" customFormat="false" ht="15" hidden="false" customHeight="true" outlineLevel="0" collapsed="false">
      <c r="A30" s="3" t="s">
        <v>183</v>
      </c>
      <c r="B30" s="4" t="s">
        <v>155</v>
      </c>
      <c r="C30" s="4"/>
      <c r="D30" s="4" t="s">
        <v>37</v>
      </c>
      <c r="E30" s="4" t="s">
        <v>76</v>
      </c>
      <c r="F30" s="4" t="s">
        <v>77</v>
      </c>
      <c r="G30" s="4" t="s">
        <v>40</v>
      </c>
      <c r="H30" s="4" t="s">
        <v>85</v>
      </c>
      <c r="I30" s="4" t="s">
        <v>184</v>
      </c>
      <c r="J30" s="4" t="s">
        <v>185</v>
      </c>
      <c r="K30" s="4" t="s">
        <v>57</v>
      </c>
      <c r="L30" s="4" t="s">
        <v>58</v>
      </c>
      <c r="M30" s="4" t="s">
        <v>58</v>
      </c>
      <c r="N30" s="4" t="s">
        <v>58</v>
      </c>
      <c r="O30" s="4" t="s">
        <v>58</v>
      </c>
      <c r="P30" s="4" t="s">
        <v>58</v>
      </c>
      <c r="Q30" s="4" t="s">
        <v>58</v>
      </c>
      <c r="R30" s="6" t="n">
        <v>26.045</v>
      </c>
      <c r="S30" s="6" t="n">
        <v>59.107</v>
      </c>
      <c r="T30" s="4"/>
      <c r="U30" s="4" t="s">
        <v>42</v>
      </c>
      <c r="V30" s="4" t="s">
        <v>59</v>
      </c>
      <c r="W30" s="4" t="s">
        <v>58</v>
      </c>
      <c r="X30" s="4" t="s">
        <v>60</v>
      </c>
      <c r="Y30" s="4" t="s">
        <v>58</v>
      </c>
      <c r="Z30" s="4" t="s">
        <v>186</v>
      </c>
      <c r="AA30" s="6" t="n">
        <v>52.928</v>
      </c>
      <c r="AB30" s="6" t="n">
        <v>22.082</v>
      </c>
      <c r="AC30" s="6" t="n">
        <v>37.025</v>
      </c>
      <c r="AD30" s="4" t="s">
        <v>43</v>
      </c>
      <c r="AE30" s="4" t="s">
        <v>80</v>
      </c>
      <c r="AF30" s="4" t="s">
        <v>63</v>
      </c>
      <c r="AG30" s="5" t="s">
        <v>187</v>
      </c>
      <c r="AH30" s="5" t="s">
        <v>65</v>
      </c>
      <c r="AI30" s="5" t="s">
        <v>45</v>
      </c>
    </row>
    <row r="31" customFormat="false" ht="15" hidden="false" customHeight="true" outlineLevel="0" collapsed="false">
      <c r="A31" s="3" t="s">
        <v>188</v>
      </c>
      <c r="B31" s="4" t="s">
        <v>155</v>
      </c>
      <c r="C31" s="4"/>
      <c r="D31" s="4" t="s">
        <v>37</v>
      </c>
      <c r="E31" s="4" t="s">
        <v>83</v>
      </c>
      <c r="F31" s="4" t="s">
        <v>84</v>
      </c>
      <c r="G31" s="4" t="s">
        <v>40</v>
      </c>
      <c r="H31" s="4" t="s">
        <v>189</v>
      </c>
      <c r="I31" s="4" t="s">
        <v>190</v>
      </c>
      <c r="J31" s="4" t="s">
        <v>70</v>
      </c>
      <c r="K31" s="4" t="s">
        <v>191</v>
      </c>
      <c r="L31" s="4" t="s">
        <v>58</v>
      </c>
      <c r="M31" s="4" t="s">
        <v>58</v>
      </c>
      <c r="N31" s="4" t="s">
        <v>58</v>
      </c>
      <c r="O31" s="4" t="s">
        <v>58</v>
      </c>
      <c r="P31" s="4" t="s">
        <v>58</v>
      </c>
      <c r="Q31" s="4" t="s">
        <v>58</v>
      </c>
      <c r="R31" s="6" t="n">
        <v>20.478</v>
      </c>
      <c r="S31" s="6" t="n">
        <v>69.221</v>
      </c>
      <c r="T31" s="4"/>
      <c r="U31" s="4" t="s">
        <v>42</v>
      </c>
      <c r="V31" s="4" t="s">
        <v>100</v>
      </c>
      <c r="W31" s="4" t="s">
        <v>58</v>
      </c>
      <c r="X31" s="4" t="s">
        <v>60</v>
      </c>
      <c r="Y31" s="4" t="s">
        <v>58</v>
      </c>
      <c r="Z31" s="4" t="s">
        <v>192</v>
      </c>
      <c r="AA31" s="6" t="n">
        <v>58.532</v>
      </c>
      <c r="AB31" s="6" t="n">
        <v>53.559</v>
      </c>
      <c r="AC31" s="6" t="n">
        <v>15.662</v>
      </c>
      <c r="AD31" s="4" t="s">
        <v>43</v>
      </c>
      <c r="AE31" s="4" t="s">
        <v>80</v>
      </c>
      <c r="AF31" s="4" t="s">
        <v>63</v>
      </c>
      <c r="AG31" s="5" t="s">
        <v>193</v>
      </c>
      <c r="AH31" s="5" t="s">
        <v>65</v>
      </c>
      <c r="AI31" s="5" t="s">
        <v>45</v>
      </c>
    </row>
    <row r="32" customFormat="false" ht="15" hidden="false" customHeight="true" outlineLevel="0" collapsed="false">
      <c r="A32" s="3" t="s">
        <v>194</v>
      </c>
      <c r="B32" s="4" t="s">
        <v>155</v>
      </c>
      <c r="C32" s="4"/>
      <c r="D32" s="4" t="s">
        <v>37</v>
      </c>
      <c r="E32" s="4" t="s">
        <v>150</v>
      </c>
      <c r="F32" s="4" t="s">
        <v>151</v>
      </c>
      <c r="G32" s="4" t="s">
        <v>40</v>
      </c>
      <c r="H32" s="4" t="s">
        <v>195</v>
      </c>
      <c r="I32" s="4" t="s">
        <v>196</v>
      </c>
      <c r="J32" s="4" t="s">
        <v>51</v>
      </c>
      <c r="K32" s="4" t="s">
        <v>51</v>
      </c>
      <c r="L32" s="4"/>
      <c r="M32" s="4"/>
      <c r="N32" s="4"/>
      <c r="O32" s="4"/>
      <c r="P32" s="4"/>
      <c r="Q32" s="4"/>
      <c r="R32" s="6" t="n">
        <v>3.012</v>
      </c>
      <c r="S32" s="4"/>
      <c r="T32" s="4"/>
      <c r="U32" s="4" t="s">
        <v>42</v>
      </c>
      <c r="V32" s="4" t="s">
        <v>100</v>
      </c>
      <c r="W32" s="4"/>
      <c r="X32" s="4"/>
      <c r="Y32" s="4"/>
      <c r="Z32" s="4"/>
      <c r="AA32" s="4"/>
      <c r="AB32" s="4"/>
      <c r="AC32" s="4"/>
      <c r="AD32" s="4" t="s">
        <v>43</v>
      </c>
      <c r="AE32" s="4" t="s">
        <v>157</v>
      </c>
      <c r="AF32" s="4" t="s">
        <v>197</v>
      </c>
      <c r="AG32" s="5" t="s">
        <v>198</v>
      </c>
      <c r="AH32" s="5" t="s">
        <v>65</v>
      </c>
      <c r="AI32" s="5" t="s">
        <v>45</v>
      </c>
    </row>
    <row r="33" customFormat="false" ht="15" hidden="false" customHeight="true" outlineLevel="0" collapsed="false">
      <c r="A33" s="3" t="s">
        <v>199</v>
      </c>
      <c r="B33" s="4" t="s">
        <v>155</v>
      </c>
      <c r="C33" s="4"/>
      <c r="D33" s="4" t="s">
        <v>37</v>
      </c>
      <c r="E33" s="4" t="s">
        <v>38</v>
      </c>
      <c r="F33" s="4" t="s">
        <v>39</v>
      </c>
      <c r="G33" s="4" t="s">
        <v>40</v>
      </c>
      <c r="H33" s="4"/>
      <c r="I33" s="4" t="s">
        <v>200</v>
      </c>
      <c r="J33" s="4" t="s">
        <v>51</v>
      </c>
      <c r="K33" s="4" t="s">
        <v>51</v>
      </c>
      <c r="L33" s="4"/>
      <c r="M33" s="4"/>
      <c r="N33" s="4"/>
      <c r="O33" s="4"/>
      <c r="P33" s="4"/>
      <c r="Q33" s="4"/>
      <c r="R33" s="4"/>
      <c r="S33" s="4"/>
      <c r="T33" s="4"/>
      <c r="U33" s="4" t="s">
        <v>42</v>
      </c>
      <c r="V33" s="4"/>
      <c r="W33" s="4"/>
      <c r="X33" s="4"/>
      <c r="Y33" s="4"/>
      <c r="Z33" s="4"/>
      <c r="AA33" s="4"/>
      <c r="AB33" s="4"/>
      <c r="AC33" s="4"/>
      <c r="AD33" s="4" t="s">
        <v>43</v>
      </c>
      <c r="AE33" s="4"/>
      <c r="AF33" s="4"/>
      <c r="AG33" s="5" t="s">
        <v>201</v>
      </c>
      <c r="AI33" s="5" t="s">
        <v>45</v>
      </c>
    </row>
    <row r="34" customFormat="false" ht="15" hidden="false" customHeight="true" outlineLevel="0" collapsed="false">
      <c r="A34" s="3" t="s">
        <v>202</v>
      </c>
      <c r="B34" s="4" t="s">
        <v>155</v>
      </c>
      <c r="C34" s="4"/>
      <c r="D34" s="4" t="s">
        <v>37</v>
      </c>
      <c r="E34" s="4" t="s">
        <v>47</v>
      </c>
      <c r="F34" s="4" t="s">
        <v>48</v>
      </c>
      <c r="G34" s="4" t="s">
        <v>40</v>
      </c>
      <c r="H34" s="4"/>
      <c r="I34" s="4" t="s">
        <v>203</v>
      </c>
      <c r="J34" s="4" t="s">
        <v>204</v>
      </c>
      <c r="K34" s="4" t="s">
        <v>51</v>
      </c>
      <c r="L34" s="4" t="s">
        <v>58</v>
      </c>
      <c r="M34" s="4"/>
      <c r="N34" s="4"/>
      <c r="O34" s="4"/>
      <c r="P34" s="4"/>
      <c r="Q34" s="4" t="s">
        <v>58</v>
      </c>
      <c r="R34" s="4"/>
      <c r="S34" s="4"/>
      <c r="T34" s="4"/>
      <c r="U34" s="4" t="s">
        <v>42</v>
      </c>
      <c r="V34" s="4"/>
      <c r="W34" s="4"/>
      <c r="X34" s="4"/>
      <c r="Y34" s="4"/>
      <c r="Z34" s="4"/>
      <c r="AA34" s="4"/>
      <c r="AB34" s="4"/>
      <c r="AC34" s="4"/>
      <c r="AD34" s="4" t="s">
        <v>43</v>
      </c>
      <c r="AE34" s="4"/>
      <c r="AF34" s="4"/>
      <c r="AG34" s="5" t="s">
        <v>205</v>
      </c>
      <c r="AI34" s="5" t="s">
        <v>45</v>
      </c>
    </row>
    <row r="35" customFormat="false" ht="15" hidden="false" customHeight="true" outlineLevel="0" collapsed="false">
      <c r="A35" s="3" t="s">
        <v>206</v>
      </c>
      <c r="B35" s="4" t="s">
        <v>155</v>
      </c>
      <c r="C35" s="4"/>
      <c r="D35" s="4" t="s">
        <v>37</v>
      </c>
      <c r="E35" s="4" t="s">
        <v>67</v>
      </c>
      <c r="F35" s="4" t="s">
        <v>68</v>
      </c>
      <c r="G35" s="4" t="s">
        <v>40</v>
      </c>
      <c r="H35" s="4"/>
      <c r="I35" s="4" t="s">
        <v>207</v>
      </c>
      <c r="J35" s="4" t="s">
        <v>78</v>
      </c>
      <c r="K35" s="4" t="s">
        <v>208</v>
      </c>
      <c r="L35" s="4" t="s">
        <v>58</v>
      </c>
      <c r="M35" s="4" t="s">
        <v>58</v>
      </c>
      <c r="N35" s="4" t="s">
        <v>58</v>
      </c>
      <c r="O35" s="4" t="s">
        <v>58</v>
      </c>
      <c r="P35" s="4" t="s">
        <v>58</v>
      </c>
      <c r="Q35" s="4" t="s">
        <v>58</v>
      </c>
      <c r="R35" s="6" t="n">
        <v>26.927</v>
      </c>
      <c r="S35" s="6" t="n">
        <v>86.942</v>
      </c>
      <c r="T35" s="4"/>
      <c r="U35" s="4" t="s">
        <v>42</v>
      </c>
      <c r="V35" s="4" t="s">
        <v>59</v>
      </c>
      <c r="W35" s="4" t="s">
        <v>106</v>
      </c>
      <c r="X35" s="4" t="s">
        <v>60</v>
      </c>
      <c r="Y35" s="4" t="s">
        <v>106</v>
      </c>
      <c r="Z35" s="4" t="s">
        <v>61</v>
      </c>
      <c r="AA35" s="6" t="n">
        <v>80.675</v>
      </c>
      <c r="AB35" s="6" t="n">
        <v>37.635</v>
      </c>
      <c r="AC35" s="6" t="n">
        <v>49.307</v>
      </c>
      <c r="AD35" s="4" t="s">
        <v>43</v>
      </c>
      <c r="AE35" s="4" t="s">
        <v>209</v>
      </c>
      <c r="AF35" s="4" t="s">
        <v>63</v>
      </c>
      <c r="AG35" s="5" t="s">
        <v>210</v>
      </c>
      <c r="AH35" s="5" t="s">
        <v>65</v>
      </c>
      <c r="AI35" s="5" t="s">
        <v>45</v>
      </c>
    </row>
    <row r="36" customFormat="false" ht="15" hidden="false" customHeight="true" outlineLevel="0" collapsed="false">
      <c r="A36" s="3" t="s">
        <v>211</v>
      </c>
      <c r="B36" s="4" t="s">
        <v>155</v>
      </c>
      <c r="C36" s="4"/>
      <c r="D36" s="4" t="s">
        <v>37</v>
      </c>
      <c r="E36" s="4" t="s">
        <v>76</v>
      </c>
      <c r="F36" s="4" t="s">
        <v>77</v>
      </c>
      <c r="G36" s="4" t="s">
        <v>40</v>
      </c>
      <c r="H36" s="4"/>
      <c r="I36" s="4" t="s">
        <v>124</v>
      </c>
      <c r="J36" s="4" t="s">
        <v>70</v>
      </c>
      <c r="K36" s="4" t="s">
        <v>212</v>
      </c>
      <c r="L36" s="4" t="s">
        <v>58</v>
      </c>
      <c r="M36" s="4" t="s">
        <v>58</v>
      </c>
      <c r="N36" s="4" t="s">
        <v>58</v>
      </c>
      <c r="O36" s="4" t="s">
        <v>58</v>
      </c>
      <c r="P36" s="4" t="s">
        <v>58</v>
      </c>
      <c r="Q36" s="4" t="s">
        <v>58</v>
      </c>
      <c r="R36" s="6" t="n">
        <v>10.564</v>
      </c>
      <c r="S36" s="6" t="n">
        <v>44.641</v>
      </c>
      <c r="T36" s="4"/>
      <c r="U36" s="4" t="s">
        <v>42</v>
      </c>
      <c r="V36" s="4" t="s">
        <v>59</v>
      </c>
      <c r="W36" s="4" t="s">
        <v>58</v>
      </c>
      <c r="X36" s="4" t="s">
        <v>60</v>
      </c>
      <c r="Y36" s="4" t="s">
        <v>58</v>
      </c>
      <c r="Z36" s="4" t="s">
        <v>111</v>
      </c>
      <c r="AA36" s="6" t="n">
        <v>42.515</v>
      </c>
      <c r="AB36" s="6" t="n">
        <v>20.571</v>
      </c>
      <c r="AC36" s="6" t="n">
        <v>24.07</v>
      </c>
      <c r="AD36" s="4" t="s">
        <v>43</v>
      </c>
      <c r="AE36" s="4" t="s">
        <v>80</v>
      </c>
      <c r="AF36" s="4" t="s">
        <v>63</v>
      </c>
      <c r="AG36" s="5" t="s">
        <v>213</v>
      </c>
      <c r="AH36" s="5" t="s">
        <v>65</v>
      </c>
      <c r="AI36" s="5" t="s">
        <v>45</v>
      </c>
    </row>
    <row r="37" customFormat="false" ht="15" hidden="false" customHeight="true" outlineLevel="0" collapsed="false">
      <c r="A37" s="3" t="s">
        <v>214</v>
      </c>
      <c r="B37" s="4" t="s">
        <v>155</v>
      </c>
      <c r="C37" s="4"/>
      <c r="D37" s="4" t="s">
        <v>37</v>
      </c>
      <c r="E37" s="4" t="s">
        <v>83</v>
      </c>
      <c r="F37" s="4" t="s">
        <v>84</v>
      </c>
      <c r="G37" s="4" t="s">
        <v>40</v>
      </c>
      <c r="H37" s="4"/>
      <c r="I37" s="4" t="s">
        <v>215</v>
      </c>
      <c r="J37" s="4" t="s">
        <v>216</v>
      </c>
      <c r="K37" s="4" t="s">
        <v>217</v>
      </c>
      <c r="L37" s="4" t="s">
        <v>58</v>
      </c>
      <c r="M37" s="4" t="s">
        <v>58</v>
      </c>
      <c r="N37" s="4" t="s">
        <v>58</v>
      </c>
      <c r="O37" s="4" t="s">
        <v>58</v>
      </c>
      <c r="P37" s="4" t="s">
        <v>58</v>
      </c>
      <c r="Q37" s="4" t="s">
        <v>58</v>
      </c>
      <c r="R37" s="6" t="n">
        <v>18.053</v>
      </c>
      <c r="S37" s="6" t="n">
        <v>53.554</v>
      </c>
      <c r="T37" s="4"/>
      <c r="U37" s="4" t="s">
        <v>42</v>
      </c>
      <c r="V37" s="4" t="s">
        <v>59</v>
      </c>
      <c r="W37" s="4" t="s">
        <v>58</v>
      </c>
      <c r="X37" s="4" t="s">
        <v>60</v>
      </c>
      <c r="Y37" s="4" t="s">
        <v>58</v>
      </c>
      <c r="Z37" s="4" t="s">
        <v>218</v>
      </c>
      <c r="AA37" s="6" t="n">
        <v>47.578</v>
      </c>
      <c r="AB37" s="6" t="n">
        <v>40.775</v>
      </c>
      <c r="AC37" s="6" t="n">
        <v>12.779</v>
      </c>
      <c r="AD37" s="4" t="s">
        <v>43</v>
      </c>
      <c r="AE37" s="4" t="s">
        <v>80</v>
      </c>
      <c r="AF37" s="4" t="s">
        <v>63</v>
      </c>
      <c r="AG37" s="5" t="s">
        <v>219</v>
      </c>
      <c r="AH37" s="5" t="s">
        <v>65</v>
      </c>
      <c r="AI37" s="5" t="s">
        <v>45</v>
      </c>
    </row>
    <row r="38" customFormat="false" ht="15" hidden="false" customHeight="true" outlineLevel="0" collapsed="false">
      <c r="A38" s="3" t="s">
        <v>220</v>
      </c>
      <c r="B38" s="4" t="s">
        <v>155</v>
      </c>
      <c r="C38" s="4"/>
      <c r="D38" s="4" t="s">
        <v>37</v>
      </c>
      <c r="E38" s="4" t="s">
        <v>150</v>
      </c>
      <c r="F38" s="4" t="s">
        <v>151</v>
      </c>
      <c r="G38" s="4" t="s">
        <v>40</v>
      </c>
      <c r="H38" s="4"/>
      <c r="I38" s="4" t="s">
        <v>221</v>
      </c>
      <c r="J38" s="4" t="s">
        <v>51</v>
      </c>
      <c r="K38" s="4" t="s">
        <v>51</v>
      </c>
      <c r="L38" s="4" t="s">
        <v>58</v>
      </c>
      <c r="M38" s="4" t="s">
        <v>58</v>
      </c>
      <c r="N38" s="4"/>
      <c r="O38" s="4"/>
      <c r="P38" s="4"/>
      <c r="Q38" s="4"/>
      <c r="R38" s="6" t="n">
        <v>2.44</v>
      </c>
      <c r="S38" s="4"/>
      <c r="T38" s="4"/>
      <c r="U38" s="4" t="s">
        <v>42</v>
      </c>
      <c r="V38" s="4" t="s">
        <v>100</v>
      </c>
      <c r="W38" s="4"/>
      <c r="X38" s="4"/>
      <c r="Y38" s="4"/>
      <c r="Z38" s="4"/>
      <c r="AA38" s="4"/>
      <c r="AB38" s="4"/>
      <c r="AC38" s="4"/>
      <c r="AD38" s="4" t="s">
        <v>43</v>
      </c>
      <c r="AE38" s="4" t="s">
        <v>222</v>
      </c>
      <c r="AF38" s="4" t="s">
        <v>197</v>
      </c>
      <c r="AG38" s="5" t="s">
        <v>223</v>
      </c>
      <c r="AH38" s="5" t="s">
        <v>65</v>
      </c>
      <c r="AI38" s="5" t="s">
        <v>45</v>
      </c>
    </row>
    <row r="39" customFormat="false" ht="15" hidden="false" customHeight="false" outlineLevel="0" collapsed="false">
      <c r="A39" s="3" t="s">
        <v>224</v>
      </c>
      <c r="B39" s="4" t="s">
        <v>155</v>
      </c>
      <c r="C39" s="4"/>
      <c r="D39" s="4" t="s">
        <v>37</v>
      </c>
      <c r="E39" s="4" t="s">
        <v>54</v>
      </c>
      <c r="F39" s="4" t="s">
        <v>55</v>
      </c>
      <c r="G39" s="4" t="s">
        <v>40</v>
      </c>
      <c r="H39" s="4"/>
      <c r="I39" s="4" t="s">
        <v>225</v>
      </c>
      <c r="J39" s="4" t="s">
        <v>50</v>
      </c>
      <c r="K39" s="4" t="s">
        <v>226</v>
      </c>
      <c r="L39" s="4" t="s">
        <v>58</v>
      </c>
      <c r="M39" s="4" t="s">
        <v>58</v>
      </c>
      <c r="N39" s="4" t="s">
        <v>58</v>
      </c>
      <c r="O39" s="4" t="s">
        <v>58</v>
      </c>
      <c r="P39" s="4" t="s">
        <v>58</v>
      </c>
      <c r="Q39" s="4" t="s">
        <v>58</v>
      </c>
      <c r="R39" s="6" t="n">
        <v>4.418</v>
      </c>
      <c r="S39" s="6" t="n">
        <v>42.472</v>
      </c>
      <c r="T39" s="4"/>
      <c r="U39" s="4" t="s">
        <v>42</v>
      </c>
      <c r="V39" s="4" t="s">
        <v>100</v>
      </c>
      <c r="W39" s="4" t="s">
        <v>58</v>
      </c>
      <c r="X39" s="4" t="s">
        <v>60</v>
      </c>
      <c r="Y39" s="4" t="s">
        <v>58</v>
      </c>
      <c r="Z39" s="4" t="s">
        <v>227</v>
      </c>
      <c r="AA39" s="6" t="n">
        <v>41.29</v>
      </c>
      <c r="AB39" s="6" t="n">
        <v>22.275</v>
      </c>
      <c r="AC39" s="6" t="n">
        <v>20.197</v>
      </c>
      <c r="AD39" s="4" t="s">
        <v>43</v>
      </c>
      <c r="AE39" s="4" t="s">
        <v>62</v>
      </c>
      <c r="AF39" s="4" t="s">
        <v>63</v>
      </c>
      <c r="AG39" s="10" t="s">
        <v>228</v>
      </c>
      <c r="AH39" s="10" t="s">
        <v>65</v>
      </c>
      <c r="AI39" s="10" t="s">
        <v>45</v>
      </c>
    </row>
  </sheetData>
  <autoFilter ref="A1:AI39"/>
  <conditionalFormatting sqref="L2:Q10">
    <cfRule type="cellIs" priority="2" operator="equal" aboveAverage="0" equalAverage="0" bottom="0" percent="0" rank="0" text="" dxfId="6">
      <formula>"yes"</formula>
    </cfRule>
    <cfRule type="cellIs" priority="3" operator="equal" aboveAverage="0" equalAverage="0" bottom="0" percent="0" rank="0" text="" dxfId="7">
      <formula>"no"</formula>
    </cfRule>
  </conditionalFormatting>
  <conditionalFormatting sqref="L10:Q10">
    <cfRule type="cellIs" priority="4" operator="equal" aboveAverage="0" equalAverage="0" bottom="0" percent="0" rank="0" text="" dxfId="6">
      <formula>"yes"</formula>
    </cfRule>
    <cfRule type="cellIs" priority="5" operator="equal" aboveAverage="0" equalAverage="0" bottom="0" percent="0" rank="0" text="" dxfId="7">
      <formula>"no"</formula>
    </cfRule>
  </conditionalFormatting>
  <conditionalFormatting sqref="L11:Q11">
    <cfRule type="cellIs" priority="6" operator="equal" aboveAverage="0" equalAverage="0" bottom="0" percent="0" rank="0" text="" dxfId="6">
      <formula>"yes"</formula>
    </cfRule>
    <cfRule type="cellIs" priority="7" operator="equal" aboveAverage="0" equalAverage="0" bottom="0" percent="0" rank="0" text="" dxfId="7">
      <formula>"no"</formula>
    </cfRule>
  </conditionalFormatting>
  <conditionalFormatting sqref="L12:Q12">
    <cfRule type="cellIs" priority="8" operator="equal" aboveAverage="0" equalAverage="0" bottom="0" percent="0" rank="0" text="" dxfId="6">
      <formula>"yes"</formula>
    </cfRule>
    <cfRule type="cellIs" priority="9" operator="equal" aboveAverage="0" equalAverage="0" bottom="0" percent="0" rank="0" text="" dxfId="7">
      <formula>"no"</formula>
    </cfRule>
  </conditionalFormatting>
  <conditionalFormatting sqref="L13:Q13">
    <cfRule type="cellIs" priority="10" operator="equal" aboveAverage="0" equalAverage="0" bottom="0" percent="0" rank="0" text="" dxfId="6">
      <formula>"yes"</formula>
    </cfRule>
    <cfRule type="cellIs" priority="11" operator="equal" aboveAverage="0" equalAverage="0" bottom="0" percent="0" rank="0" text="" dxfId="7">
      <formula>"no"</formula>
    </cfRule>
  </conditionalFormatting>
  <conditionalFormatting sqref="L14:Q14">
    <cfRule type="cellIs" priority="12" operator="equal" aboveAverage="0" equalAverage="0" bottom="0" percent="0" rank="0" text="" dxfId="6">
      <formula>"yes"</formula>
    </cfRule>
    <cfRule type="cellIs" priority="13" operator="equal" aboveAverage="0" equalAverage="0" bottom="0" percent="0" rank="0" text="" dxfId="7">
      <formula>"no"</formula>
    </cfRule>
  </conditionalFormatting>
  <conditionalFormatting sqref="L15:Q15">
    <cfRule type="cellIs" priority="14" operator="equal" aboveAverage="0" equalAverage="0" bottom="0" percent="0" rank="0" text="" dxfId="6">
      <formula>"yes"</formula>
    </cfRule>
    <cfRule type="cellIs" priority="15" operator="equal" aboveAverage="0" equalAverage="0" bottom="0" percent="0" rank="0" text="" dxfId="7">
      <formula>"no"</formula>
    </cfRule>
  </conditionalFormatting>
  <conditionalFormatting sqref="L16:Q16">
    <cfRule type="cellIs" priority="16" operator="equal" aboveAverage="0" equalAverage="0" bottom="0" percent="0" rank="0" text="" dxfId="6">
      <formula>"yes"</formula>
    </cfRule>
    <cfRule type="cellIs" priority="17" operator="equal" aboveAverage="0" equalAverage="0" bottom="0" percent="0" rank="0" text="" dxfId="7">
      <formula>"no"</formula>
    </cfRule>
  </conditionalFormatting>
  <conditionalFormatting sqref="L17:Q17">
    <cfRule type="cellIs" priority="18" operator="equal" aboveAverage="0" equalAverage="0" bottom="0" percent="0" rank="0" text="" dxfId="6">
      <formula>"yes"</formula>
    </cfRule>
    <cfRule type="cellIs" priority="19" operator="equal" aboveAverage="0" equalAverage="0" bottom="0" percent="0" rank="0" text="" dxfId="7">
      <formula>"no"</formula>
    </cfRule>
  </conditionalFormatting>
  <conditionalFormatting sqref="L18:Q18">
    <cfRule type="cellIs" priority="20" operator="equal" aboveAverage="0" equalAverage="0" bottom="0" percent="0" rank="0" text="" dxfId="6">
      <formula>"yes"</formula>
    </cfRule>
    <cfRule type="cellIs" priority="21" operator="equal" aboveAverage="0" equalAverage="0" bottom="0" percent="0" rank="0" text="" dxfId="7">
      <formula>"no"</formula>
    </cfRule>
  </conditionalFormatting>
  <conditionalFormatting sqref="L19:Q19">
    <cfRule type="cellIs" priority="22" operator="equal" aboveAverage="0" equalAverage="0" bottom="0" percent="0" rank="0" text="" dxfId="6">
      <formula>"yes"</formula>
    </cfRule>
    <cfRule type="cellIs" priority="23" operator="equal" aboveAverage="0" equalAverage="0" bottom="0" percent="0" rank="0" text="" dxfId="7">
      <formula>"no"</formula>
    </cfRule>
  </conditionalFormatting>
  <conditionalFormatting sqref="L20:Q20">
    <cfRule type="cellIs" priority="24" operator="equal" aboveAverage="0" equalAverage="0" bottom="0" percent="0" rank="0" text="" dxfId="6">
      <formula>"yes"</formula>
    </cfRule>
    <cfRule type="cellIs" priority="25" operator="equal" aboveAverage="0" equalAverage="0" bottom="0" percent="0" rank="0" text="" dxfId="7">
      <formula>"no"</formula>
    </cfRule>
  </conditionalFormatting>
  <conditionalFormatting sqref="L21:Q21">
    <cfRule type="cellIs" priority="26" operator="equal" aboveAverage="0" equalAverage="0" bottom="0" percent="0" rank="0" text="" dxfId="6">
      <formula>"yes"</formula>
    </cfRule>
    <cfRule type="cellIs" priority="27" operator="equal" aboveAverage="0" equalAverage="0" bottom="0" percent="0" rank="0" text="" dxfId="7">
      <formula>"no"</formula>
    </cfRule>
  </conditionalFormatting>
  <conditionalFormatting sqref="L22:Q22">
    <cfRule type="cellIs" priority="28" operator="equal" aboveAverage="0" equalAverage="0" bottom="0" percent="0" rank="0" text="" dxfId="6">
      <formula>"yes"</formula>
    </cfRule>
    <cfRule type="cellIs" priority="29" operator="equal" aboveAverage="0" equalAverage="0" bottom="0" percent="0" rank="0" text="" dxfId="7">
      <formula>"no"</formula>
    </cfRule>
  </conditionalFormatting>
  <conditionalFormatting sqref="L23:Q23">
    <cfRule type="cellIs" priority="30" operator="equal" aboveAverage="0" equalAverage="0" bottom="0" percent="0" rank="0" text="" dxfId="6">
      <formula>"yes"</formula>
    </cfRule>
    <cfRule type="cellIs" priority="31" operator="equal" aboveAverage="0" equalAverage="0" bottom="0" percent="0" rank="0" text="" dxfId="7">
      <formula>"no"</formula>
    </cfRule>
  </conditionalFormatting>
  <conditionalFormatting sqref="L24:Q24">
    <cfRule type="cellIs" priority="32" operator="equal" aboveAverage="0" equalAverage="0" bottom="0" percent="0" rank="0" text="" dxfId="6">
      <formula>"yes"</formula>
    </cfRule>
    <cfRule type="cellIs" priority="33" operator="equal" aboveAverage="0" equalAverage="0" bottom="0" percent="0" rank="0" text="" dxfId="7">
      <formula>"no"</formula>
    </cfRule>
  </conditionalFormatting>
  <conditionalFormatting sqref="L25:Q25">
    <cfRule type="cellIs" priority="34" operator="equal" aboveAverage="0" equalAverage="0" bottom="0" percent="0" rank="0" text="" dxfId="6">
      <formula>"yes"</formula>
    </cfRule>
    <cfRule type="cellIs" priority="35" operator="equal" aboveAverage="0" equalAverage="0" bottom="0" percent="0" rank="0" text="" dxfId="7">
      <formula>"no"</formula>
    </cfRule>
  </conditionalFormatting>
  <conditionalFormatting sqref="L26:Q27">
    <cfRule type="cellIs" priority="36" operator="equal" aboveAverage="0" equalAverage="0" bottom="0" percent="0" rank="0" text="" dxfId="6">
      <formula>"yes"</formula>
    </cfRule>
    <cfRule type="cellIs" priority="37" operator="equal" aboveAverage="0" equalAverage="0" bottom="0" percent="0" rank="0" text="" dxfId="7">
      <formula>"no"</formula>
    </cfRule>
  </conditionalFormatting>
  <conditionalFormatting sqref="L28:Q28">
    <cfRule type="cellIs" priority="38" operator="equal" aboveAverage="0" equalAverage="0" bottom="0" percent="0" rank="0" text="" dxfId="6">
      <formula>"yes"</formula>
    </cfRule>
    <cfRule type="cellIs" priority="39" operator="equal" aboveAverage="0" equalAverage="0" bottom="0" percent="0" rank="0" text="" dxfId="7">
      <formula>"no"</formula>
    </cfRule>
  </conditionalFormatting>
  <conditionalFormatting sqref="L29:Q29">
    <cfRule type="cellIs" priority="40" operator="equal" aboveAverage="0" equalAverage="0" bottom="0" percent="0" rank="0" text="" dxfId="6">
      <formula>"yes"</formula>
    </cfRule>
    <cfRule type="cellIs" priority="41" operator="equal" aboveAverage="0" equalAverage="0" bottom="0" percent="0" rank="0" text="" dxfId="7">
      <formula>"no"</formula>
    </cfRule>
  </conditionalFormatting>
  <conditionalFormatting sqref="L30:Q30">
    <cfRule type="cellIs" priority="42" operator="equal" aboveAverage="0" equalAverage="0" bottom="0" percent="0" rank="0" text="" dxfId="6">
      <formula>"yes"</formula>
    </cfRule>
    <cfRule type="cellIs" priority="43" operator="equal" aboveAverage="0" equalAverage="0" bottom="0" percent="0" rank="0" text="" dxfId="7">
      <formula>"no"</formula>
    </cfRule>
  </conditionalFormatting>
  <conditionalFormatting sqref="L31:Q31">
    <cfRule type="cellIs" priority="44" operator="equal" aboveAverage="0" equalAverage="0" bottom="0" percent="0" rank="0" text="" dxfId="6">
      <formula>"yes"</formula>
    </cfRule>
    <cfRule type="cellIs" priority="45" operator="equal" aboveAverage="0" equalAverage="0" bottom="0" percent="0" rank="0" text="" dxfId="7">
      <formula>"no"</formula>
    </cfRule>
  </conditionalFormatting>
  <conditionalFormatting sqref="L32:Q34">
    <cfRule type="cellIs" priority="46" operator="equal" aboveAverage="0" equalAverage="0" bottom="0" percent="0" rank="0" text="" dxfId="6">
      <formula>"yes"</formula>
    </cfRule>
    <cfRule type="cellIs" priority="47" operator="equal" aboveAverage="0" equalAverage="0" bottom="0" percent="0" rank="0" text="" dxfId="7">
      <formula>"no"</formula>
    </cfRule>
  </conditionalFormatting>
  <conditionalFormatting sqref="L35:Q35">
    <cfRule type="cellIs" priority="48" operator="equal" aboveAverage="0" equalAverage="0" bottom="0" percent="0" rank="0" text="" dxfId="6">
      <formula>"yes"</formula>
    </cfRule>
    <cfRule type="cellIs" priority="49" operator="equal" aboveAverage="0" equalAverage="0" bottom="0" percent="0" rank="0" text="" dxfId="7">
      <formula>"no"</formula>
    </cfRule>
  </conditionalFormatting>
  <conditionalFormatting sqref="L36:Q36">
    <cfRule type="cellIs" priority="50" operator="equal" aboveAverage="0" equalAverage="0" bottom="0" percent="0" rank="0" text="" dxfId="6">
      <formula>"yes"</formula>
    </cfRule>
    <cfRule type="cellIs" priority="51" operator="equal" aboveAverage="0" equalAverage="0" bottom="0" percent="0" rank="0" text="" dxfId="7">
      <formula>"no"</formula>
    </cfRule>
  </conditionalFormatting>
  <conditionalFormatting sqref="L37:Q37">
    <cfRule type="cellIs" priority="52" operator="equal" aboveAverage="0" equalAverage="0" bottom="0" percent="0" rank="0" text="" dxfId="6">
      <formula>"yes"</formula>
    </cfRule>
    <cfRule type="cellIs" priority="53" operator="equal" aboveAverage="0" equalAverage="0" bottom="0" percent="0" rank="0" text="" dxfId="7">
      <formula>"no"</formula>
    </cfRule>
  </conditionalFormatting>
  <conditionalFormatting sqref="L38:Q38">
    <cfRule type="cellIs" priority="54" operator="equal" aboveAverage="0" equalAverage="0" bottom="0" percent="0" rank="0" text="" dxfId="6">
      <formula>"yes"</formula>
    </cfRule>
    <cfRule type="cellIs" priority="55" operator="equal" aboveAverage="0" equalAverage="0" bottom="0" percent="0" rank="0" text="" dxfId="7">
      <formula>"no"</formula>
    </cfRule>
  </conditionalFormatting>
  <conditionalFormatting sqref="L39:Q39">
    <cfRule type="cellIs" priority="56" operator="equal" aboveAverage="0" equalAverage="0" bottom="0" percent="0" rank="0" text="" dxfId="8">
      <formula>"yes"</formula>
    </cfRule>
    <cfRule type="cellIs" priority="57" operator="equal" aboveAverage="0" equalAverage="0" bottom="0" percent="0" rank="0" text="" dxfId="9">
      <formula>"no"</formula>
    </cfRule>
  </conditionalFormatting>
  <hyperlinks>
    <hyperlink ref="AG2" r:id="rId2" display="trial_086_LA_S1"/>
    <hyperlink ref="AI2" r:id="rId3" display="video"/>
    <hyperlink ref="AG3" r:id="rId4" display="trial_087_LA_S2"/>
    <hyperlink ref="AI3" r:id="rId5" display="video"/>
    <hyperlink ref="AG4" r:id="rId6" display="trial_088_LA_S3"/>
    <hyperlink ref="AH4" r:id="rId7" display="viewer"/>
    <hyperlink ref="AI4" r:id="rId8" display="video"/>
    <hyperlink ref="AG5" r:id="rId9" display="trial_089_LA_S4"/>
    <hyperlink ref="AH5" r:id="rId10" display="viewer"/>
    <hyperlink ref="AI5" r:id="rId11" display="video"/>
    <hyperlink ref="AG6" r:id="rId12" display="trial_090_LA_S5"/>
    <hyperlink ref="AH6" r:id="rId13" display="viewer"/>
    <hyperlink ref="AI6" r:id="rId14" display="video"/>
    <hyperlink ref="AG7" r:id="rId15" display="trial_091_LA_S6"/>
    <hyperlink ref="AH7" r:id="rId16" display="viewer"/>
    <hyperlink ref="AI7" r:id="rId17" display="video"/>
    <hyperlink ref="AG8" r:id="rId18" display="trial_092_LA_S1"/>
    <hyperlink ref="AI8" r:id="rId19" display="video"/>
    <hyperlink ref="AG9" r:id="rId20" display="trial_093_LA_S2"/>
    <hyperlink ref="AI9" r:id="rId21" display="video"/>
    <hyperlink ref="AG10" r:id="rId22" display="trial_095_LA_S3"/>
    <hyperlink ref="AH10" r:id="rId23" display="viewer"/>
    <hyperlink ref="AI10" r:id="rId24" display="video"/>
    <hyperlink ref="AG11" r:id="rId25" display="trial_097_LA_S5"/>
    <hyperlink ref="AH11" r:id="rId26" display="viewer"/>
    <hyperlink ref="AI11" r:id="rId27" display="video"/>
    <hyperlink ref="AG12" r:id="rId28" display="trial_096_LA_S4"/>
    <hyperlink ref="AH12" r:id="rId29" display="viewer"/>
    <hyperlink ref="AI12" r:id="rId30" display="video"/>
    <hyperlink ref="AG13" r:id="rId31" display="trial_099_LA_S3"/>
    <hyperlink ref="AH13" r:id="rId32" display="viewer"/>
    <hyperlink ref="AI13" r:id="rId33" display="video"/>
    <hyperlink ref="AG14" r:id="rId34" display="trial_100_LA_S3"/>
    <hyperlink ref="AH14" r:id="rId35" display="viewer"/>
    <hyperlink ref="AI14" r:id="rId36" display="video"/>
    <hyperlink ref="AG15" r:id="rId37" display="trial_101_LA_S4"/>
    <hyperlink ref="AH15" r:id="rId38" display="viewer"/>
    <hyperlink ref="AI15" r:id="rId39" display="video"/>
    <hyperlink ref="AG16" r:id="rId40" display="trial_105_LA_S1"/>
    <hyperlink ref="AI16" r:id="rId41" display="video"/>
    <hyperlink ref="AG17" r:id="rId42" display="trial_107_LA_S2"/>
    <hyperlink ref="AI17" r:id="rId43" display="video"/>
    <hyperlink ref="AG18" r:id="rId44" display="trial_108_LA_S3"/>
    <hyperlink ref="AI18" r:id="rId45" display="video"/>
    <hyperlink ref="AG19" r:id="rId46" display="trial_109_LA_S4"/>
    <hyperlink ref="AI19" r:id="rId47" display="video"/>
    <hyperlink ref="AG20" r:id="rId48" display="trial_110_LA_S5"/>
    <hyperlink ref="AI20" r:id="rId49" display="video"/>
    <hyperlink ref="AG21" r:id="rId50" display="trial_111_LA_S6"/>
    <hyperlink ref="AI21" r:id="rId51" display="video"/>
    <hyperlink ref="AG22" r:id="rId52" display="trial_112_LA_S7"/>
    <hyperlink ref="AI22" r:id="rId53" display="video"/>
    <hyperlink ref="AG23" r:id="rId54" display="trial_114_LA_S7"/>
    <hyperlink ref="AH23" r:id="rId55" display="viewer"/>
    <hyperlink ref="AI23" r:id="rId56" display="video"/>
    <hyperlink ref="AG24" r:id="rId57" display="trial_113_LA_S7"/>
    <hyperlink ref="AH24" r:id="rId58" display="viewer"/>
    <hyperlink ref="AI24" r:id="rId59" display="video"/>
    <hyperlink ref="AG25" r:id="rId60" display="trial_115_LA_S6"/>
    <hyperlink ref="AH25" r:id="rId61" display="viewer"/>
    <hyperlink ref="AI25" r:id="rId62" display="video"/>
    <hyperlink ref="AG26" r:id="rId63" display="trial_116_LA_S1"/>
    <hyperlink ref="AI26" r:id="rId64" display="video"/>
    <hyperlink ref="AG27" r:id="rId65" display="trial_117_LA_S2"/>
    <hyperlink ref="AI27" r:id="rId66" display="video"/>
    <hyperlink ref="AG28" r:id="rId67" display="trial_118_LA_S1"/>
    <hyperlink ref="AH28" r:id="rId68" display="viewer"/>
    <hyperlink ref="AI28" r:id="rId69" display="video"/>
    <hyperlink ref="AG29" r:id="rId70" display="trial_119_LA_S4"/>
    <hyperlink ref="AH29" r:id="rId71" display="viewer"/>
    <hyperlink ref="AI29" r:id="rId72" display="video"/>
    <hyperlink ref="AG30" r:id="rId73" display="trial_120_LA_S5"/>
    <hyperlink ref="AH30" r:id="rId74" display="viewer"/>
    <hyperlink ref="AI30" r:id="rId75" display="video"/>
    <hyperlink ref="AG31" r:id="rId76" display="trial_121_LA_S6"/>
    <hyperlink ref="AH31" r:id="rId77" display="viewer"/>
    <hyperlink ref="AI31" r:id="rId78" display="video"/>
    <hyperlink ref="AG32" r:id="rId79" display="trial_122_LA_S7"/>
    <hyperlink ref="AH32" r:id="rId80" display="viewer"/>
    <hyperlink ref="AI32" r:id="rId81" display="video"/>
    <hyperlink ref="AG33" r:id="rId82" display="trial_123_LA_S1"/>
    <hyperlink ref="AI33" r:id="rId83" display="video"/>
    <hyperlink ref="AG34" r:id="rId84" display="trial_124_LA_S2"/>
    <hyperlink ref="AI34" r:id="rId85" display="video"/>
    <hyperlink ref="AG35" r:id="rId86" display="trial_126_LA_S4"/>
    <hyperlink ref="AH35" r:id="rId87" display="viewer"/>
    <hyperlink ref="AI35" r:id="rId88" display="video"/>
    <hyperlink ref="AG36" r:id="rId89" display="trial_127_LA_S5"/>
    <hyperlink ref="AH36" r:id="rId90" display="viewer"/>
    <hyperlink ref="AI36" r:id="rId91" display="video"/>
    <hyperlink ref="AG37" r:id="rId92" display="trial_128_LA_S6"/>
    <hyperlink ref="AH37" r:id="rId93" display="viewer"/>
    <hyperlink ref="AI37" r:id="rId94" display="video"/>
    <hyperlink ref="AG38" r:id="rId95" display="trial_129_LA_S7"/>
    <hyperlink ref="AH38" r:id="rId96" display="viewer"/>
    <hyperlink ref="AI38" r:id="rId97" display="video"/>
    <hyperlink ref="AG39" r:id="rId98" display="trial_125_LA_S3"/>
    <hyperlink ref="AH39" r:id="rId99" display="viewer"/>
    <hyperlink ref="AI39" r:id="rId100" display="vide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1"/>
  <legacyDrawing r:id="rId1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1" activeCellId="0" sqref="F3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9"/>
    <col collapsed="false" customWidth="true" hidden="false" outlineLevel="0" max="33" min="4" style="1" width="12"/>
    <col collapsed="false" customWidth="true" hidden="false" outlineLevel="0" max="34" min="34" style="1" width="10"/>
    <col collapsed="false" customWidth="true" hidden="false" outlineLevel="0" max="35" min="35" style="1" width="12"/>
  </cols>
  <sheetData>
    <row r="1" customFormat="false" ht="15" hidden="false" customHeight="true" outlineLevel="0" collapsed="false">
      <c r="E1" s="11" t="s">
        <v>229</v>
      </c>
      <c r="F1" s="11" t="s">
        <v>230</v>
      </c>
      <c r="G1" s="12"/>
      <c r="H1" s="12"/>
      <c r="I1" s="12"/>
      <c r="J1" s="11" t="s">
        <v>231</v>
      </c>
      <c r="K1" s="11" t="s">
        <v>232</v>
      </c>
      <c r="L1" s="11" t="s">
        <v>233</v>
      </c>
      <c r="M1" s="12"/>
      <c r="N1" s="12"/>
      <c r="O1" s="12"/>
      <c r="P1" s="11" t="s">
        <v>23</v>
      </c>
      <c r="Q1" s="12"/>
      <c r="R1" s="12"/>
      <c r="S1" s="12"/>
      <c r="T1" s="12"/>
      <c r="U1" s="12"/>
      <c r="V1" s="11" t="s">
        <v>234</v>
      </c>
      <c r="W1" s="12"/>
      <c r="X1" s="12"/>
      <c r="Y1" s="12"/>
      <c r="Z1" s="12"/>
      <c r="AA1" s="11" t="s">
        <v>235</v>
      </c>
      <c r="AB1" s="12"/>
      <c r="AC1" s="12"/>
      <c r="AD1" s="12"/>
      <c r="AE1" s="11" t="s">
        <v>236</v>
      </c>
      <c r="AF1" s="12"/>
    </row>
    <row r="2" customFormat="false" ht="42" hidden="false" customHeight="true" outlineLevel="0" collapsed="false">
      <c r="A2" s="2" t="s">
        <v>0</v>
      </c>
      <c r="B2" s="2" t="s">
        <v>1</v>
      </c>
      <c r="C2" s="2" t="s">
        <v>4</v>
      </c>
      <c r="D2" s="2" t="s">
        <v>20</v>
      </c>
      <c r="E2" s="2" t="s">
        <v>237</v>
      </c>
      <c r="F2" s="2" t="s">
        <v>238</v>
      </c>
      <c r="G2" s="2" t="s">
        <v>239</v>
      </c>
      <c r="H2" s="2" t="s">
        <v>240</v>
      </c>
      <c r="I2" s="2" t="s">
        <v>21</v>
      </c>
      <c r="J2" s="2" t="s">
        <v>241</v>
      </c>
      <c r="K2" s="2" t="s">
        <v>242</v>
      </c>
      <c r="L2" s="2" t="s">
        <v>22</v>
      </c>
      <c r="M2" s="2" t="s">
        <v>243</v>
      </c>
      <c r="N2" s="2" t="s">
        <v>244</v>
      </c>
      <c r="O2" s="2" t="s">
        <v>245</v>
      </c>
      <c r="P2" s="2" t="s">
        <v>23</v>
      </c>
      <c r="Q2" s="2" t="s">
        <v>24</v>
      </c>
      <c r="R2" s="2" t="s">
        <v>246</v>
      </c>
      <c r="S2" s="2" t="s">
        <v>247</v>
      </c>
      <c r="T2" s="2" t="s">
        <v>25</v>
      </c>
      <c r="U2" s="2" t="s">
        <v>248</v>
      </c>
      <c r="V2" s="2" t="s">
        <v>249</v>
      </c>
      <c r="W2" s="2" t="s">
        <v>250</v>
      </c>
      <c r="X2" s="2" t="s">
        <v>251</v>
      </c>
      <c r="Y2" s="2" t="s">
        <v>252</v>
      </c>
      <c r="Z2" s="2" t="s">
        <v>253</v>
      </c>
      <c r="AA2" s="2" t="s">
        <v>26</v>
      </c>
      <c r="AB2" s="2" t="s">
        <v>27</v>
      </c>
      <c r="AC2" s="2" t="s">
        <v>28</v>
      </c>
      <c r="AD2" s="2" t="s">
        <v>254</v>
      </c>
      <c r="AE2" s="2" t="s">
        <v>255</v>
      </c>
      <c r="AF2" s="2" t="s">
        <v>256</v>
      </c>
      <c r="AG2" s="2" t="s">
        <v>257</v>
      </c>
      <c r="AH2" s="2" t="s">
        <v>29</v>
      </c>
      <c r="AI2" s="2" t="s">
        <v>258</v>
      </c>
    </row>
    <row r="3" customFormat="false" ht="15" hidden="false" customHeight="true" outlineLevel="0" collapsed="false">
      <c r="A3" s="13" t="s">
        <v>35</v>
      </c>
      <c r="B3" s="13" t="s">
        <v>36</v>
      </c>
      <c r="C3" s="13" t="s">
        <v>38</v>
      </c>
      <c r="D3" s="13" t="s">
        <v>42</v>
      </c>
      <c r="E3" s="13"/>
      <c r="F3" s="14" t="n">
        <v>1.753</v>
      </c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 t="n">
        <v>0</v>
      </c>
      <c r="AF3" s="14" t="n">
        <v>1</v>
      </c>
      <c r="AG3" s="13"/>
      <c r="AH3" s="13" t="s">
        <v>43</v>
      </c>
      <c r="AI3" s="14" t="n">
        <v>0.234</v>
      </c>
    </row>
    <row r="4" customFormat="false" ht="15" hidden="false" customHeight="true" outlineLevel="0" collapsed="false">
      <c r="A4" s="13" t="s">
        <v>46</v>
      </c>
      <c r="B4" s="13" t="s">
        <v>36</v>
      </c>
      <c r="C4" s="13" t="s">
        <v>47</v>
      </c>
      <c r="D4" s="13" t="s">
        <v>42</v>
      </c>
      <c r="E4" s="13"/>
      <c r="F4" s="14" t="n">
        <v>1.278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4" t="n">
        <v>1</v>
      </c>
      <c r="AF4" s="14" t="n">
        <v>1</v>
      </c>
      <c r="AG4" s="13"/>
      <c r="AH4" s="13" t="s">
        <v>43</v>
      </c>
      <c r="AI4" s="14" t="n">
        <v>0.191</v>
      </c>
    </row>
    <row r="5" customFormat="false" ht="15" hidden="false" customHeight="true" outlineLevel="0" collapsed="false">
      <c r="A5" s="13" t="s">
        <v>53</v>
      </c>
      <c r="B5" s="13" t="s">
        <v>36</v>
      </c>
      <c r="C5" s="13" t="s">
        <v>54</v>
      </c>
      <c r="D5" s="13" t="s">
        <v>42</v>
      </c>
      <c r="E5" s="14" t="n">
        <v>5.21</v>
      </c>
      <c r="F5" s="14" t="n">
        <v>1.301</v>
      </c>
      <c r="G5" s="14" t="n">
        <v>1.312</v>
      </c>
      <c r="H5" s="14" t="n">
        <v>0.011</v>
      </c>
      <c r="I5" s="13" t="s">
        <v>59</v>
      </c>
      <c r="J5" s="14" t="n">
        <v>3.222</v>
      </c>
      <c r="K5" s="14" t="n">
        <v>0.46</v>
      </c>
      <c r="L5" s="13" t="s">
        <v>58</v>
      </c>
      <c r="M5" s="14" t="n">
        <v>2.143</v>
      </c>
      <c r="N5" s="14" t="n">
        <v>0</v>
      </c>
      <c r="O5" s="14" t="n">
        <v>17.257</v>
      </c>
      <c r="P5" s="13" t="s">
        <v>60</v>
      </c>
      <c r="Q5" s="13" t="s">
        <v>58</v>
      </c>
      <c r="R5" s="14" t="n">
        <v>0.751</v>
      </c>
      <c r="S5" s="14" t="n">
        <v>0.209</v>
      </c>
      <c r="T5" s="13" t="s">
        <v>61</v>
      </c>
      <c r="U5" s="14" t="n">
        <v>1</v>
      </c>
      <c r="V5" s="14" t="n">
        <v>2.602</v>
      </c>
      <c r="W5" s="14" t="n">
        <v>1.03</v>
      </c>
      <c r="X5" s="14" t="n">
        <v>6.981</v>
      </c>
      <c r="Y5" s="13"/>
      <c r="Z5" s="14" t="n">
        <v>41.171</v>
      </c>
      <c r="AA5" s="14" t="n">
        <v>32.542</v>
      </c>
      <c r="AB5" s="14" t="n">
        <v>21.106</v>
      </c>
      <c r="AC5" s="14" t="n">
        <v>23.974</v>
      </c>
      <c r="AD5" s="14" t="n">
        <v>45.08</v>
      </c>
      <c r="AE5" s="14" t="n">
        <v>4</v>
      </c>
      <c r="AF5" s="14" t="n">
        <v>4</v>
      </c>
      <c r="AG5" s="13" t="s">
        <v>259</v>
      </c>
      <c r="AH5" s="13" t="s">
        <v>43</v>
      </c>
      <c r="AI5" s="14" t="n">
        <v>0.299</v>
      </c>
    </row>
    <row r="6" customFormat="false" ht="15" hidden="false" customHeight="true" outlineLevel="0" collapsed="false">
      <c r="A6" s="13" t="s">
        <v>66</v>
      </c>
      <c r="B6" s="13" t="s">
        <v>36</v>
      </c>
      <c r="C6" s="13" t="s">
        <v>67</v>
      </c>
      <c r="D6" s="13" t="s">
        <v>42</v>
      </c>
      <c r="E6" s="14" t="n">
        <v>11.901</v>
      </c>
      <c r="F6" s="14" t="n">
        <v>1.229</v>
      </c>
      <c r="G6" s="14" t="n">
        <v>1.235</v>
      </c>
      <c r="H6" s="14" t="n">
        <v>0.006</v>
      </c>
      <c r="I6" s="13" t="s">
        <v>59</v>
      </c>
      <c r="J6" s="14" t="n">
        <v>10.218</v>
      </c>
      <c r="K6" s="14" t="n">
        <v>0.28</v>
      </c>
      <c r="L6" s="13" t="s">
        <v>58</v>
      </c>
      <c r="M6" s="14" t="n">
        <v>2.348</v>
      </c>
      <c r="N6" s="14" t="n">
        <v>0</v>
      </c>
      <c r="O6" s="14" t="n">
        <v>110.713</v>
      </c>
      <c r="P6" s="13" t="s">
        <v>60</v>
      </c>
      <c r="Q6" s="13" t="s">
        <v>58</v>
      </c>
      <c r="R6" s="14" t="n">
        <v>0.594</v>
      </c>
      <c r="S6" s="14" t="n">
        <v>0.153</v>
      </c>
      <c r="T6" s="13" t="s">
        <v>72</v>
      </c>
      <c r="U6" s="14" t="n">
        <v>1</v>
      </c>
      <c r="V6" s="14" t="n">
        <v>2.695</v>
      </c>
      <c r="W6" s="14" t="n">
        <v>0.938</v>
      </c>
      <c r="X6" s="14" t="n">
        <v>7.72</v>
      </c>
      <c r="Y6" s="13"/>
      <c r="Z6" s="14" t="n">
        <v>38.883</v>
      </c>
      <c r="AA6" s="14" t="n">
        <v>37.421</v>
      </c>
      <c r="AB6" s="14" t="n">
        <v>22.598</v>
      </c>
      <c r="AC6" s="14" t="n">
        <v>26.957</v>
      </c>
      <c r="AD6" s="14" t="n">
        <v>49.555</v>
      </c>
      <c r="AE6" s="14" t="n">
        <v>5</v>
      </c>
      <c r="AF6" s="14" t="n">
        <v>5</v>
      </c>
      <c r="AG6" s="13" t="s">
        <v>259</v>
      </c>
      <c r="AH6" s="13" t="s">
        <v>43</v>
      </c>
      <c r="AI6" s="14" t="n">
        <v>0.342</v>
      </c>
    </row>
    <row r="7" customFormat="false" ht="15" hidden="false" customHeight="true" outlineLevel="0" collapsed="false">
      <c r="A7" s="13" t="s">
        <v>75</v>
      </c>
      <c r="B7" s="13" t="s">
        <v>36</v>
      </c>
      <c r="C7" s="13" t="s">
        <v>76</v>
      </c>
      <c r="D7" s="13" t="s">
        <v>42</v>
      </c>
      <c r="E7" s="14" t="n">
        <v>10.304</v>
      </c>
      <c r="F7" s="14" t="n">
        <v>1.291</v>
      </c>
      <c r="G7" s="14" t="n">
        <v>1.297</v>
      </c>
      <c r="H7" s="14" t="n">
        <v>0.006</v>
      </c>
      <c r="I7" s="13" t="s">
        <v>59</v>
      </c>
      <c r="J7" s="14" t="n">
        <v>8.512</v>
      </c>
      <c r="K7" s="14" t="n">
        <v>0.346</v>
      </c>
      <c r="L7" s="13" t="s">
        <v>58</v>
      </c>
      <c r="M7" s="14" t="n">
        <v>2.508</v>
      </c>
      <c r="N7" s="14" t="n">
        <v>0</v>
      </c>
      <c r="O7" s="14" t="n">
        <v>261.074</v>
      </c>
      <c r="P7" s="13" t="s">
        <v>60</v>
      </c>
      <c r="Q7" s="13" t="s">
        <v>58</v>
      </c>
      <c r="R7" s="14" t="n">
        <v>2.609</v>
      </c>
      <c r="S7" s="14" t="n">
        <v>0.136</v>
      </c>
      <c r="T7" s="13" t="s">
        <v>79</v>
      </c>
      <c r="U7" s="14" t="n">
        <v>1</v>
      </c>
      <c r="V7" s="14" t="n">
        <v>2.603</v>
      </c>
      <c r="W7" s="14" t="n">
        <v>1.05</v>
      </c>
      <c r="X7" s="14" t="n">
        <v>7.371</v>
      </c>
      <c r="Y7" s="13"/>
      <c r="Z7" s="14" t="n">
        <v>40.426</v>
      </c>
      <c r="AA7" s="14" t="n">
        <v>37.947</v>
      </c>
      <c r="AB7" s="14" t="n">
        <v>19.917</v>
      </c>
      <c r="AC7" s="14" t="n">
        <v>29.522</v>
      </c>
      <c r="AD7" s="14" t="n">
        <v>49.439</v>
      </c>
      <c r="AE7" s="14" t="n">
        <v>5</v>
      </c>
      <c r="AF7" s="14" t="n">
        <v>4</v>
      </c>
      <c r="AG7" s="13" t="s">
        <v>259</v>
      </c>
      <c r="AH7" s="13" t="s">
        <v>43</v>
      </c>
      <c r="AI7" s="14" t="n">
        <v>0.709</v>
      </c>
    </row>
    <row r="8" customFormat="false" ht="15" hidden="false" customHeight="true" outlineLevel="0" collapsed="false">
      <c r="A8" s="13" t="s">
        <v>82</v>
      </c>
      <c r="B8" s="13" t="s">
        <v>36</v>
      </c>
      <c r="C8" s="13" t="s">
        <v>83</v>
      </c>
      <c r="D8" s="13" t="s">
        <v>87</v>
      </c>
      <c r="E8" s="14" t="n">
        <v>0.511</v>
      </c>
      <c r="F8" s="13"/>
      <c r="G8" s="13"/>
      <c r="H8" s="13"/>
      <c r="I8" s="13"/>
      <c r="J8" s="13"/>
      <c r="K8" s="14" t="n">
        <v>0.343</v>
      </c>
      <c r="L8" s="13" t="s">
        <v>58</v>
      </c>
      <c r="M8" s="14" t="n">
        <v>1.574</v>
      </c>
      <c r="N8" s="14" t="n">
        <v>0</v>
      </c>
      <c r="O8" s="14" t="n">
        <v>67.783</v>
      </c>
      <c r="P8" s="13" t="s">
        <v>60</v>
      </c>
      <c r="Q8" s="13" t="s">
        <v>58</v>
      </c>
      <c r="R8" s="14" t="n">
        <v>0.886</v>
      </c>
      <c r="S8" s="14" t="n">
        <v>0.157</v>
      </c>
      <c r="T8" s="13" t="s">
        <v>88</v>
      </c>
      <c r="U8" s="14" t="n">
        <v>1</v>
      </c>
      <c r="V8" s="14" t="n">
        <v>2.592</v>
      </c>
      <c r="W8" s="14" t="n">
        <v>1.033</v>
      </c>
      <c r="X8" s="14" t="n">
        <v>17.209</v>
      </c>
      <c r="Y8" s="13"/>
      <c r="Z8" s="14" t="n">
        <v>46.561</v>
      </c>
      <c r="AA8" s="14" t="n">
        <v>39.692</v>
      </c>
      <c r="AB8" s="14" t="n">
        <v>28.371</v>
      </c>
      <c r="AC8" s="14" t="n">
        <v>18.701</v>
      </c>
      <c r="AD8" s="14" t="n">
        <v>47.072</v>
      </c>
      <c r="AE8" s="14" t="n">
        <v>3</v>
      </c>
      <c r="AF8" s="14" t="n">
        <v>2</v>
      </c>
      <c r="AG8" s="13" t="s">
        <v>259</v>
      </c>
      <c r="AH8" s="13" t="s">
        <v>43</v>
      </c>
      <c r="AI8" s="14" t="n">
        <v>0.287</v>
      </c>
    </row>
    <row r="9" customFormat="false" ht="15" hidden="false" customHeight="true" outlineLevel="0" collapsed="false">
      <c r="A9" s="13" t="s">
        <v>90</v>
      </c>
      <c r="B9" s="13" t="s">
        <v>36</v>
      </c>
      <c r="C9" s="13" t="s">
        <v>38</v>
      </c>
      <c r="D9" s="13" t="s">
        <v>42</v>
      </c>
      <c r="E9" s="13"/>
      <c r="F9" s="14" t="n">
        <v>1.262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 t="n">
        <v>0</v>
      </c>
      <c r="AF9" s="14" t="n">
        <v>1</v>
      </c>
      <c r="AG9" s="13"/>
      <c r="AH9" s="13" t="s">
        <v>43</v>
      </c>
      <c r="AI9" s="14" t="n">
        <v>3.106</v>
      </c>
    </row>
    <row r="10" customFormat="false" ht="15" hidden="false" customHeight="true" outlineLevel="0" collapsed="false">
      <c r="A10" s="13" t="s">
        <v>93</v>
      </c>
      <c r="B10" s="13" t="s">
        <v>36</v>
      </c>
      <c r="C10" s="13" t="s">
        <v>47</v>
      </c>
      <c r="D10" s="13" t="s">
        <v>42</v>
      </c>
      <c r="E10" s="13"/>
      <c r="F10" s="14" t="n">
        <v>1.144</v>
      </c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 t="n">
        <v>0</v>
      </c>
      <c r="AF10" s="14" t="n">
        <v>1</v>
      </c>
      <c r="AG10" s="13"/>
      <c r="AH10" s="13" t="s">
        <v>43</v>
      </c>
      <c r="AI10" s="14" t="n">
        <v>0.919</v>
      </c>
    </row>
    <row r="11" customFormat="false" ht="15" hidden="false" customHeight="true" outlineLevel="0" collapsed="false">
      <c r="A11" s="13" t="s">
        <v>260</v>
      </c>
      <c r="B11" s="13" t="s">
        <v>36</v>
      </c>
      <c r="C11" s="13" t="s">
        <v>54</v>
      </c>
      <c r="D11" s="13" t="s">
        <v>42</v>
      </c>
      <c r="E11" s="14" t="n">
        <v>9.442</v>
      </c>
      <c r="F11" s="14" t="n">
        <v>1.631</v>
      </c>
      <c r="G11" s="14" t="n">
        <v>2.867</v>
      </c>
      <c r="H11" s="14" t="n">
        <v>1.236</v>
      </c>
      <c r="I11" s="13" t="s">
        <v>100</v>
      </c>
      <c r="J11" s="14" t="n">
        <v>4.346</v>
      </c>
      <c r="K11" s="14" t="n">
        <v>0.47</v>
      </c>
      <c r="L11" s="13" t="s">
        <v>58</v>
      </c>
      <c r="M11" s="14" t="n">
        <v>1.796</v>
      </c>
      <c r="N11" s="14" t="n">
        <v>0</v>
      </c>
      <c r="O11" s="14" t="n">
        <v>1811.875</v>
      </c>
      <c r="P11" s="13" t="s">
        <v>60</v>
      </c>
      <c r="Q11" s="13" t="s">
        <v>106</v>
      </c>
      <c r="R11" s="14" t="n">
        <v>1.565</v>
      </c>
      <c r="S11" s="14" t="n">
        <v>1.752</v>
      </c>
      <c r="T11" s="13" t="s">
        <v>227</v>
      </c>
      <c r="U11" s="14" t="n">
        <v>1</v>
      </c>
      <c r="V11" s="14" t="n">
        <v>2.62</v>
      </c>
      <c r="W11" s="14" t="n">
        <v>1.01</v>
      </c>
      <c r="X11" s="14" t="n">
        <v>12.801</v>
      </c>
      <c r="Y11" s="13"/>
      <c r="Z11" s="14" t="n">
        <v>37.677</v>
      </c>
      <c r="AA11" s="14" t="n">
        <v>43.736</v>
      </c>
      <c r="AB11" s="14" t="n">
        <v>21.857</v>
      </c>
      <c r="AC11" s="14" t="n">
        <v>23.631</v>
      </c>
      <c r="AD11" s="14" t="n">
        <v>45.488</v>
      </c>
      <c r="AE11" s="14" t="n">
        <v>3</v>
      </c>
      <c r="AF11" s="14" t="n">
        <v>4</v>
      </c>
      <c r="AG11" s="13" t="s">
        <v>259</v>
      </c>
      <c r="AH11" s="13" t="s">
        <v>43</v>
      </c>
      <c r="AI11" s="14" t="n">
        <v>3.191</v>
      </c>
    </row>
    <row r="12" customFormat="false" ht="15" hidden="false" customHeight="true" outlineLevel="0" collapsed="false">
      <c r="A12" s="13" t="s">
        <v>97</v>
      </c>
      <c r="B12" s="13" t="s">
        <v>36</v>
      </c>
      <c r="C12" s="13" t="s">
        <v>54</v>
      </c>
      <c r="D12" s="13" t="s">
        <v>42</v>
      </c>
      <c r="E12" s="14" t="n">
        <v>4.194</v>
      </c>
      <c r="F12" s="14" t="n">
        <v>1.629</v>
      </c>
      <c r="G12" s="14" t="n">
        <v>2.586</v>
      </c>
      <c r="H12" s="14" t="n">
        <v>0.957</v>
      </c>
      <c r="I12" s="13" t="s">
        <v>100</v>
      </c>
      <c r="J12" s="14" t="n">
        <v>1.349</v>
      </c>
      <c r="K12" s="14" t="n">
        <v>0.141</v>
      </c>
      <c r="L12" s="13" t="s">
        <v>58</v>
      </c>
      <c r="M12" s="14" t="n">
        <v>1.336</v>
      </c>
      <c r="N12" s="14" t="n">
        <v>0</v>
      </c>
      <c r="O12" s="14" t="n">
        <v>34.711</v>
      </c>
      <c r="P12" s="13" t="s">
        <v>60</v>
      </c>
      <c r="Q12" s="13" t="s">
        <v>58</v>
      </c>
      <c r="R12" s="14" t="n">
        <v>3.04</v>
      </c>
      <c r="S12" s="14" t="n">
        <v>0.106</v>
      </c>
      <c r="T12" s="13" t="s">
        <v>101</v>
      </c>
      <c r="U12" s="14" t="n">
        <v>1</v>
      </c>
      <c r="V12" s="14" t="n">
        <v>2.643</v>
      </c>
      <c r="W12" s="14" t="n">
        <v>0.974</v>
      </c>
      <c r="X12" s="14" t="n">
        <v>8.196</v>
      </c>
      <c r="Y12" s="13"/>
      <c r="Z12" s="14" t="n">
        <v>36.647</v>
      </c>
      <c r="AA12" s="14" t="n">
        <v>29.932</v>
      </c>
      <c r="AB12" s="14" t="n">
        <v>20.712</v>
      </c>
      <c r="AC12" s="14" t="n">
        <v>18.5</v>
      </c>
      <c r="AD12" s="14" t="n">
        <v>39.212</v>
      </c>
      <c r="AE12" s="14" t="n">
        <v>4</v>
      </c>
      <c r="AF12" s="14" t="n">
        <v>4</v>
      </c>
      <c r="AG12" s="13" t="s">
        <v>259</v>
      </c>
      <c r="AH12" s="13" t="s">
        <v>43</v>
      </c>
      <c r="AI12" s="14" t="n">
        <v>0.281</v>
      </c>
    </row>
    <row r="13" customFormat="false" ht="15" hidden="false" customHeight="true" outlineLevel="0" collapsed="false">
      <c r="A13" s="13" t="s">
        <v>104</v>
      </c>
      <c r="B13" s="13" t="s">
        <v>36</v>
      </c>
      <c r="C13" s="13" t="s">
        <v>76</v>
      </c>
      <c r="D13" s="13" t="s">
        <v>42</v>
      </c>
      <c r="E13" s="14" t="n">
        <v>12.254</v>
      </c>
      <c r="F13" s="14" t="n">
        <v>2.379</v>
      </c>
      <c r="G13" s="14" t="n">
        <v>3.504</v>
      </c>
      <c r="H13" s="14" t="n">
        <v>1.125</v>
      </c>
      <c r="I13" s="13" t="s">
        <v>100</v>
      </c>
      <c r="J13" s="14" t="n">
        <v>7.584</v>
      </c>
      <c r="K13" s="14" t="n">
        <v>0.186</v>
      </c>
      <c r="L13" s="13" t="s">
        <v>58</v>
      </c>
      <c r="M13" s="14" t="n">
        <v>0.965</v>
      </c>
      <c r="N13" s="14" t="n">
        <v>0</v>
      </c>
      <c r="O13" s="14" t="n">
        <v>702.242</v>
      </c>
      <c r="P13" s="13" t="s">
        <v>60</v>
      </c>
      <c r="Q13" s="13" t="s">
        <v>106</v>
      </c>
      <c r="R13" s="14" t="n">
        <v>0.772</v>
      </c>
      <c r="S13" s="14" t="n">
        <v>0.971</v>
      </c>
      <c r="T13" s="13" t="s">
        <v>107</v>
      </c>
      <c r="U13" s="14" t="n">
        <v>1</v>
      </c>
      <c r="V13" s="14" t="n">
        <v>2.597</v>
      </c>
      <c r="W13" s="14" t="n">
        <v>1.026</v>
      </c>
      <c r="X13" s="14" t="n">
        <v>7.951</v>
      </c>
      <c r="Y13" s="13"/>
      <c r="Z13" s="14" t="n">
        <v>34.518</v>
      </c>
      <c r="AA13" s="14" t="n">
        <v>39.29</v>
      </c>
      <c r="AB13" s="14" t="n">
        <v>16.688</v>
      </c>
      <c r="AC13" s="14" t="n">
        <v>27.705</v>
      </c>
      <c r="AD13" s="14" t="n">
        <v>44.393</v>
      </c>
      <c r="AE13" s="14" t="n">
        <v>4</v>
      </c>
      <c r="AF13" s="14" t="n">
        <v>3</v>
      </c>
      <c r="AG13" s="13" t="s">
        <v>259</v>
      </c>
      <c r="AH13" s="13" t="s">
        <v>43</v>
      </c>
      <c r="AI13" s="14" t="n">
        <v>0.246</v>
      </c>
    </row>
    <row r="14" customFormat="false" ht="15" hidden="false" customHeight="true" outlineLevel="0" collapsed="false">
      <c r="A14" s="13" t="s">
        <v>109</v>
      </c>
      <c r="B14" s="13" t="s">
        <v>36</v>
      </c>
      <c r="C14" s="13" t="s">
        <v>67</v>
      </c>
      <c r="D14" s="13" t="s">
        <v>42</v>
      </c>
      <c r="E14" s="14" t="n">
        <v>12.069</v>
      </c>
      <c r="F14" s="14" t="n">
        <v>1.237</v>
      </c>
      <c r="G14" s="14" t="n">
        <v>1.24</v>
      </c>
      <c r="H14" s="14" t="n">
        <v>0.003</v>
      </c>
      <c r="I14" s="13" t="s">
        <v>59</v>
      </c>
      <c r="J14" s="14" t="n">
        <v>10.393</v>
      </c>
      <c r="K14" s="14" t="n">
        <v>0.255</v>
      </c>
      <c r="L14" s="13" t="s">
        <v>58</v>
      </c>
      <c r="M14" s="14" t="n">
        <v>1.528</v>
      </c>
      <c r="N14" s="14" t="n">
        <v>0</v>
      </c>
      <c r="O14" s="14" t="n">
        <v>32.252</v>
      </c>
      <c r="P14" s="13" t="s">
        <v>60</v>
      </c>
      <c r="Q14" s="13" t="s">
        <v>58</v>
      </c>
      <c r="R14" s="14" t="n">
        <v>0.878</v>
      </c>
      <c r="S14" s="14" t="n">
        <v>0.162</v>
      </c>
      <c r="T14" s="13" t="s">
        <v>111</v>
      </c>
      <c r="U14" s="14" t="n">
        <v>1</v>
      </c>
      <c r="V14" s="14" t="n">
        <v>2.594</v>
      </c>
      <c r="W14" s="14" t="n">
        <v>1.033</v>
      </c>
      <c r="X14" s="14" t="n">
        <v>6.6</v>
      </c>
      <c r="Y14" s="13"/>
      <c r="Z14" s="14" t="n">
        <v>29.784</v>
      </c>
      <c r="AA14" s="14" t="n">
        <v>38.474</v>
      </c>
      <c r="AB14" s="14" t="n">
        <v>14.79</v>
      </c>
      <c r="AC14" s="14" t="n">
        <v>25.826</v>
      </c>
      <c r="AD14" s="14" t="n">
        <v>40.616</v>
      </c>
      <c r="AE14" s="14" t="n">
        <v>4</v>
      </c>
      <c r="AF14" s="14" t="n">
        <v>4</v>
      </c>
      <c r="AG14" s="13" t="s">
        <v>259</v>
      </c>
      <c r="AH14" s="13" t="s">
        <v>43</v>
      </c>
      <c r="AI14" s="14" t="n">
        <v>0.298</v>
      </c>
    </row>
    <row r="15" customFormat="false" ht="15" hidden="false" customHeight="true" outlineLevel="0" collapsed="false">
      <c r="A15" s="13" t="s">
        <v>114</v>
      </c>
      <c r="B15" s="13" t="s">
        <v>36</v>
      </c>
      <c r="C15" s="13" t="s">
        <v>54</v>
      </c>
      <c r="D15" s="13" t="s">
        <v>42</v>
      </c>
      <c r="E15" s="14" t="n">
        <v>2.966</v>
      </c>
      <c r="F15" s="14" t="n">
        <v>1.35</v>
      </c>
      <c r="G15" s="14" t="n">
        <v>1.357</v>
      </c>
      <c r="H15" s="14" t="n">
        <v>0.007</v>
      </c>
      <c r="I15" s="13" t="s">
        <v>59</v>
      </c>
      <c r="J15" s="14" t="n">
        <v>1.2</v>
      </c>
      <c r="K15" s="14" t="n">
        <v>0.216</v>
      </c>
      <c r="L15" s="13" t="s">
        <v>58</v>
      </c>
      <c r="M15" s="14" t="n">
        <v>1.764</v>
      </c>
      <c r="N15" s="14" t="n">
        <v>0</v>
      </c>
      <c r="O15" s="14" t="n">
        <v>92.917</v>
      </c>
      <c r="P15" s="13" t="s">
        <v>60</v>
      </c>
      <c r="Q15" s="13" t="s">
        <v>58</v>
      </c>
      <c r="R15" s="14" t="n">
        <v>1.958</v>
      </c>
      <c r="S15" s="14" t="n">
        <v>0.176</v>
      </c>
      <c r="T15" s="13" t="s">
        <v>116</v>
      </c>
      <c r="U15" s="14" t="n">
        <v>1</v>
      </c>
      <c r="V15" s="14" t="n">
        <v>2.595</v>
      </c>
      <c r="W15" s="14" t="n">
        <v>1.031</v>
      </c>
      <c r="X15" s="14" t="n">
        <v>5.999</v>
      </c>
      <c r="Y15" s="13"/>
      <c r="Z15" s="14" t="n">
        <v>40.669</v>
      </c>
      <c r="AA15" s="14" t="n">
        <v>25.188</v>
      </c>
      <c r="AB15" s="14" t="n">
        <v>21.286</v>
      </c>
      <c r="AC15" s="14" t="n">
        <v>20.999</v>
      </c>
      <c r="AD15" s="14" t="n">
        <v>42.285</v>
      </c>
      <c r="AE15" s="14" t="n">
        <v>4</v>
      </c>
      <c r="AF15" s="14" t="n">
        <v>5</v>
      </c>
      <c r="AG15" s="13" t="s">
        <v>259</v>
      </c>
      <c r="AH15" s="13" t="s">
        <v>43</v>
      </c>
      <c r="AI15" s="14" t="n">
        <v>0.292</v>
      </c>
    </row>
    <row r="16" customFormat="false" ht="15" hidden="false" customHeight="true" outlineLevel="0" collapsed="false">
      <c r="A16" s="13" t="s">
        <v>118</v>
      </c>
      <c r="B16" s="13" t="s">
        <v>36</v>
      </c>
      <c r="C16" s="13" t="s">
        <v>54</v>
      </c>
      <c r="D16" s="13" t="s">
        <v>42</v>
      </c>
      <c r="E16" s="14" t="n">
        <v>6.371</v>
      </c>
      <c r="F16" s="14" t="n">
        <v>3.626</v>
      </c>
      <c r="G16" s="14" t="n">
        <v>4.718</v>
      </c>
      <c r="H16" s="14" t="n">
        <v>1.092</v>
      </c>
      <c r="I16" s="13" t="s">
        <v>100</v>
      </c>
      <c r="J16" s="14" t="n">
        <v>1.241</v>
      </c>
      <c r="K16" s="14" t="n">
        <v>0.263</v>
      </c>
      <c r="L16" s="13" t="s">
        <v>58</v>
      </c>
      <c r="M16" s="14" t="n">
        <v>3.618</v>
      </c>
      <c r="N16" s="14" t="n">
        <v>0</v>
      </c>
      <c r="O16" s="14" t="n">
        <v>47.336</v>
      </c>
      <c r="P16" s="13" t="s">
        <v>60</v>
      </c>
      <c r="Q16" s="13" t="s">
        <v>58</v>
      </c>
      <c r="R16" s="14" t="n">
        <v>5.956</v>
      </c>
      <c r="S16" s="14" t="n">
        <v>0.145</v>
      </c>
      <c r="T16" s="13" t="s">
        <v>120</v>
      </c>
      <c r="U16" s="14" t="n">
        <v>1</v>
      </c>
      <c r="V16" s="14" t="n">
        <v>2.598</v>
      </c>
      <c r="W16" s="14" t="n">
        <v>1.022</v>
      </c>
      <c r="X16" s="14" t="n">
        <v>8.836</v>
      </c>
      <c r="Y16" s="13"/>
      <c r="Z16" s="14" t="n">
        <v>30.779</v>
      </c>
      <c r="AA16" s="14" t="n">
        <v>33.765</v>
      </c>
      <c r="AB16" s="14" t="n">
        <v>15.565</v>
      </c>
      <c r="AC16" s="14" t="n">
        <v>17.959</v>
      </c>
      <c r="AD16" s="14" t="n">
        <v>33.524</v>
      </c>
      <c r="AE16" s="14" t="n">
        <v>3</v>
      </c>
      <c r="AF16" s="14" t="n">
        <v>3</v>
      </c>
      <c r="AG16" s="13" t="s">
        <v>259</v>
      </c>
      <c r="AH16" s="13" t="s">
        <v>43</v>
      </c>
      <c r="AI16" s="14" t="n">
        <v>3.122</v>
      </c>
    </row>
    <row r="17" customFormat="false" ht="15" hidden="false" customHeight="true" outlineLevel="0" collapsed="false">
      <c r="A17" s="13" t="s">
        <v>122</v>
      </c>
      <c r="B17" s="13" t="s">
        <v>36</v>
      </c>
      <c r="C17" s="13" t="s">
        <v>67</v>
      </c>
      <c r="D17" s="13" t="s">
        <v>42</v>
      </c>
      <c r="E17" s="14" t="n">
        <v>21.338</v>
      </c>
      <c r="F17" s="14" t="n">
        <v>3.289</v>
      </c>
      <c r="G17" s="14" t="n">
        <v>3.321</v>
      </c>
      <c r="H17" s="14" t="n">
        <v>0.032</v>
      </c>
      <c r="I17" s="13" t="s">
        <v>59</v>
      </c>
      <c r="J17" s="14" t="n">
        <v>17.573</v>
      </c>
      <c r="K17" s="14" t="n">
        <v>0.247</v>
      </c>
      <c r="L17" s="13" t="s">
        <v>58</v>
      </c>
      <c r="M17" s="14" t="n">
        <v>2.562</v>
      </c>
      <c r="N17" s="14" t="n">
        <v>0</v>
      </c>
      <c r="O17" s="14" t="n">
        <v>53.718</v>
      </c>
      <c r="P17" s="13" t="s">
        <v>60</v>
      </c>
      <c r="Q17" s="13" t="s">
        <v>58</v>
      </c>
      <c r="R17" s="14" t="n">
        <v>0.859</v>
      </c>
      <c r="S17" s="14" t="n">
        <v>0.183</v>
      </c>
      <c r="T17" s="13" t="s">
        <v>125</v>
      </c>
      <c r="U17" s="14" t="n">
        <v>1</v>
      </c>
      <c r="V17" s="14" t="n">
        <v>2.588</v>
      </c>
      <c r="W17" s="14" t="n">
        <v>1.036</v>
      </c>
      <c r="X17" s="14" t="n">
        <v>7.665</v>
      </c>
      <c r="Y17" s="13"/>
      <c r="Z17" s="14" t="n">
        <v>63.178</v>
      </c>
      <c r="AA17" s="14" t="n">
        <v>62.726</v>
      </c>
      <c r="AB17" s="14" t="n">
        <v>34.836</v>
      </c>
      <c r="AC17" s="14" t="n">
        <v>46.391</v>
      </c>
      <c r="AD17" s="14" t="n">
        <v>81.227</v>
      </c>
      <c r="AE17" s="14" t="n">
        <v>10</v>
      </c>
      <c r="AF17" s="14" t="n">
        <v>10</v>
      </c>
      <c r="AG17" s="13" t="s">
        <v>259</v>
      </c>
      <c r="AH17" s="13" t="s">
        <v>43</v>
      </c>
      <c r="AI17" s="14" t="n">
        <v>0.359</v>
      </c>
    </row>
    <row r="18" customFormat="false" ht="15" hidden="false" customHeight="true" outlineLevel="0" collapsed="false">
      <c r="A18" s="13" t="s">
        <v>127</v>
      </c>
      <c r="B18" s="13" t="s">
        <v>36</v>
      </c>
      <c r="C18" s="13" t="s">
        <v>38</v>
      </c>
      <c r="D18" s="13" t="s">
        <v>42</v>
      </c>
      <c r="E18" s="13"/>
      <c r="F18" s="14" t="n">
        <v>1.41</v>
      </c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4" t="n">
        <v>0</v>
      </c>
      <c r="AF18" s="14" t="n">
        <v>1</v>
      </c>
      <c r="AG18" s="13"/>
      <c r="AH18" s="13" t="s">
        <v>43</v>
      </c>
      <c r="AI18" s="14" t="n">
        <v>0.846</v>
      </c>
    </row>
    <row r="19" customFormat="false" ht="15" hidden="false" customHeight="true" outlineLevel="0" collapsed="false">
      <c r="A19" s="13" t="s">
        <v>130</v>
      </c>
      <c r="B19" s="13" t="s">
        <v>36</v>
      </c>
      <c r="C19" s="13" t="s">
        <v>47</v>
      </c>
      <c r="D19" s="13" t="s">
        <v>42</v>
      </c>
      <c r="E19" s="13"/>
      <c r="F19" s="14" t="n">
        <v>1.132</v>
      </c>
      <c r="G19" s="14" t="n">
        <v>1.138</v>
      </c>
      <c r="H19" s="14" t="n">
        <v>0.006</v>
      </c>
      <c r="I19" s="13" t="s">
        <v>59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 t="n">
        <v>0</v>
      </c>
      <c r="AF19" s="14" t="n">
        <v>1</v>
      </c>
      <c r="AG19" s="13"/>
      <c r="AH19" s="13" t="s">
        <v>43</v>
      </c>
      <c r="AI19" s="14" t="n">
        <v>0.212</v>
      </c>
    </row>
    <row r="20" customFormat="false" ht="15" hidden="false" customHeight="true" outlineLevel="0" collapsed="false">
      <c r="A20" s="13" t="s">
        <v>134</v>
      </c>
      <c r="B20" s="13" t="s">
        <v>36</v>
      </c>
      <c r="C20" s="13" t="s">
        <v>54</v>
      </c>
      <c r="D20" s="13" t="s">
        <v>42</v>
      </c>
      <c r="E20" s="14" t="n">
        <v>3.759</v>
      </c>
      <c r="F20" s="14" t="n">
        <v>1.15</v>
      </c>
      <c r="G20" s="14" t="n">
        <v>2.47</v>
      </c>
      <c r="H20" s="14" t="n">
        <v>1.32</v>
      </c>
      <c r="I20" s="13" t="s">
        <v>100</v>
      </c>
      <c r="J20" s="14" t="n">
        <v>0.881</v>
      </c>
      <c r="K20" s="14" t="n">
        <v>0.259</v>
      </c>
      <c r="L20" s="13" t="s">
        <v>58</v>
      </c>
      <c r="M20" s="14" t="n">
        <v>2.135</v>
      </c>
      <c r="N20" s="14" t="n">
        <v>0</v>
      </c>
      <c r="O20" s="14" t="n">
        <v>896.557</v>
      </c>
      <c r="P20" s="13" t="s">
        <v>60</v>
      </c>
      <c r="Q20" s="13" t="s">
        <v>58</v>
      </c>
      <c r="R20" s="14" t="n">
        <v>5.297</v>
      </c>
      <c r="S20" s="14" t="n">
        <v>0.129</v>
      </c>
      <c r="T20" s="13" t="s">
        <v>136</v>
      </c>
      <c r="U20" s="14" t="n">
        <v>1</v>
      </c>
      <c r="V20" s="14" t="n">
        <v>2.597</v>
      </c>
      <c r="W20" s="14" t="n">
        <v>1.031</v>
      </c>
      <c r="X20" s="14" t="n">
        <v>9.88</v>
      </c>
      <c r="Y20" s="13"/>
      <c r="Z20" s="14" t="n">
        <v>25.471</v>
      </c>
      <c r="AA20" s="14" t="n">
        <v>25.893</v>
      </c>
      <c r="AB20" s="14" t="n">
        <v>9.713</v>
      </c>
      <c r="AC20" s="14" t="n">
        <v>18.367</v>
      </c>
      <c r="AD20" s="14" t="n">
        <v>28.08</v>
      </c>
      <c r="AE20" s="14" t="n">
        <v>2</v>
      </c>
      <c r="AF20" s="14" t="n">
        <v>2</v>
      </c>
      <c r="AG20" s="13" t="s">
        <v>259</v>
      </c>
      <c r="AH20" s="13" t="s">
        <v>43</v>
      </c>
      <c r="AI20" s="14" t="n">
        <v>0.275</v>
      </c>
    </row>
    <row r="21" customFormat="false" ht="15" hidden="false" customHeight="true" outlineLevel="0" collapsed="false">
      <c r="A21" s="13" t="s">
        <v>138</v>
      </c>
      <c r="B21" s="13" t="s">
        <v>36</v>
      </c>
      <c r="C21" s="13" t="s">
        <v>67</v>
      </c>
      <c r="D21" s="13" t="s">
        <v>42</v>
      </c>
      <c r="E21" s="14" t="n">
        <v>12.288</v>
      </c>
      <c r="F21" s="14" t="n">
        <v>1.146</v>
      </c>
      <c r="G21" s="14" t="n">
        <v>1.365</v>
      </c>
      <c r="H21" s="14" t="n">
        <v>0.219</v>
      </c>
      <c r="I21" s="13" t="s">
        <v>100</v>
      </c>
      <c r="J21" s="14" t="n">
        <v>10.396</v>
      </c>
      <c r="K21" s="14" t="n">
        <v>0.349</v>
      </c>
      <c r="L21" s="13" t="s">
        <v>58</v>
      </c>
      <c r="M21" s="14" t="n">
        <v>2.776</v>
      </c>
      <c r="N21" s="14" t="n">
        <v>0</v>
      </c>
      <c r="O21" s="14" t="n">
        <v>971.692</v>
      </c>
      <c r="P21" s="13" t="s">
        <v>60</v>
      </c>
      <c r="Q21" s="13" t="s">
        <v>58</v>
      </c>
      <c r="R21" s="14" t="n">
        <v>1.189</v>
      </c>
      <c r="S21" s="14" t="n">
        <v>0.171</v>
      </c>
      <c r="T21" s="13" t="s">
        <v>139</v>
      </c>
      <c r="U21" s="14" t="n">
        <v>1</v>
      </c>
      <c r="V21" s="14" t="n">
        <v>2.59</v>
      </c>
      <c r="W21" s="14" t="n">
        <v>1.037</v>
      </c>
      <c r="X21" s="14" t="n">
        <v>6.256</v>
      </c>
      <c r="Y21" s="13"/>
      <c r="Z21" s="14" t="n">
        <v>30.545</v>
      </c>
      <c r="AA21" s="14" t="n">
        <v>39.452</v>
      </c>
      <c r="AB21" s="14" t="n">
        <v>14.872</v>
      </c>
      <c r="AC21" s="14" t="n">
        <v>26.815</v>
      </c>
      <c r="AD21" s="14" t="n">
        <v>41.687</v>
      </c>
      <c r="AE21" s="14" t="n">
        <v>4</v>
      </c>
      <c r="AF21" s="14" t="n">
        <v>4</v>
      </c>
      <c r="AG21" s="13" t="s">
        <v>259</v>
      </c>
      <c r="AH21" s="13" t="s">
        <v>43</v>
      </c>
      <c r="AI21" s="14" t="n">
        <v>3.273</v>
      </c>
    </row>
    <row r="22" customFormat="false" ht="15" hidden="false" customHeight="true" outlineLevel="0" collapsed="false">
      <c r="A22" s="13" t="s">
        <v>141</v>
      </c>
      <c r="B22" s="13" t="s">
        <v>36</v>
      </c>
      <c r="C22" s="13" t="s">
        <v>76</v>
      </c>
      <c r="D22" s="13" t="s">
        <v>42</v>
      </c>
      <c r="E22" s="14" t="n">
        <v>26.027</v>
      </c>
      <c r="F22" s="14" t="n">
        <v>1.163</v>
      </c>
      <c r="G22" s="14" t="n">
        <v>1.171</v>
      </c>
      <c r="H22" s="14" t="n">
        <v>0.008</v>
      </c>
      <c r="I22" s="13" t="s">
        <v>59</v>
      </c>
      <c r="J22" s="14" t="n">
        <v>24.441</v>
      </c>
      <c r="K22" s="14" t="n">
        <v>0.262</v>
      </c>
      <c r="L22" s="13" t="s">
        <v>58</v>
      </c>
      <c r="M22" s="14" t="n">
        <v>2.292</v>
      </c>
      <c r="N22" s="14" t="n">
        <v>0</v>
      </c>
      <c r="O22" s="14" t="n">
        <v>42.597</v>
      </c>
      <c r="P22" s="13" t="s">
        <v>60</v>
      </c>
      <c r="Q22" s="13" t="s">
        <v>58</v>
      </c>
      <c r="R22" s="14" t="n">
        <v>1.058</v>
      </c>
      <c r="S22" s="14" t="n">
        <v>0.132</v>
      </c>
      <c r="T22" s="13" t="s">
        <v>143</v>
      </c>
      <c r="U22" s="14" t="n">
        <v>1</v>
      </c>
      <c r="V22" s="14" t="n">
        <v>2.59</v>
      </c>
      <c r="W22" s="14" t="n">
        <v>1.041</v>
      </c>
      <c r="X22" s="14" t="n">
        <v>8.621</v>
      </c>
      <c r="Y22" s="13"/>
      <c r="Z22" s="14" t="n">
        <v>38.001</v>
      </c>
      <c r="AA22" s="14" t="n">
        <v>56.328</v>
      </c>
      <c r="AB22" s="14" t="n">
        <v>32.296</v>
      </c>
      <c r="AC22" s="14" t="n">
        <v>30.569</v>
      </c>
      <c r="AD22" s="14" t="n">
        <v>62.865</v>
      </c>
      <c r="AE22" s="14" t="n">
        <v>5</v>
      </c>
      <c r="AF22" s="14" t="n">
        <v>6</v>
      </c>
      <c r="AG22" s="13" t="s">
        <v>259</v>
      </c>
      <c r="AH22" s="13" t="s">
        <v>43</v>
      </c>
      <c r="AI22" s="14" t="n">
        <v>3.152</v>
      </c>
    </row>
    <row r="23" customFormat="false" ht="15" hidden="false" customHeight="true" outlineLevel="0" collapsed="false">
      <c r="A23" s="13" t="s">
        <v>145</v>
      </c>
      <c r="B23" s="13" t="s">
        <v>36</v>
      </c>
      <c r="C23" s="13" t="s">
        <v>83</v>
      </c>
      <c r="D23" s="13" t="s">
        <v>42</v>
      </c>
      <c r="E23" s="14" t="n">
        <v>1.465</v>
      </c>
      <c r="F23" s="14" t="n">
        <v>0.914</v>
      </c>
      <c r="G23" s="14" t="n">
        <v>0.956</v>
      </c>
      <c r="H23" s="14" t="n">
        <v>0.042</v>
      </c>
      <c r="I23" s="13" t="s">
        <v>59</v>
      </c>
      <c r="J23" s="14" t="n">
        <v>0.134</v>
      </c>
      <c r="K23" s="14" t="n">
        <v>0.221</v>
      </c>
      <c r="L23" s="13" t="s">
        <v>58</v>
      </c>
      <c r="M23" s="14" t="n">
        <v>2.283</v>
      </c>
      <c r="N23" s="14" t="n">
        <v>0</v>
      </c>
      <c r="O23" s="14" t="n">
        <v>141.099</v>
      </c>
      <c r="P23" s="13" t="s">
        <v>60</v>
      </c>
      <c r="Q23" s="13" t="s">
        <v>58</v>
      </c>
      <c r="R23" s="14" t="n">
        <v>0.933</v>
      </c>
      <c r="S23" s="14" t="n">
        <v>0.149</v>
      </c>
      <c r="T23" s="13" t="s">
        <v>147</v>
      </c>
      <c r="U23" s="14" t="n">
        <v>1</v>
      </c>
      <c r="V23" s="14" t="n">
        <v>2.59</v>
      </c>
      <c r="W23" s="14" t="n">
        <v>1.027</v>
      </c>
      <c r="X23" s="14" t="n">
        <v>9.227</v>
      </c>
      <c r="Y23" s="13"/>
      <c r="Z23" s="14" t="n">
        <v>27.636</v>
      </c>
      <c r="AA23" s="14" t="n">
        <v>21.35</v>
      </c>
      <c r="AB23" s="14" t="n">
        <v>20.118</v>
      </c>
      <c r="AC23" s="14" t="n">
        <v>8.069</v>
      </c>
      <c r="AD23" s="14" t="n">
        <v>28.187</v>
      </c>
      <c r="AE23" s="14" t="n">
        <v>3</v>
      </c>
      <c r="AF23" s="14" t="n">
        <v>2</v>
      </c>
      <c r="AG23" s="13" t="s">
        <v>259</v>
      </c>
      <c r="AH23" s="13" t="s">
        <v>43</v>
      </c>
      <c r="AI23" s="14" t="n">
        <v>0.298</v>
      </c>
    </row>
    <row r="24" customFormat="false" ht="15" hidden="false" customHeight="true" outlineLevel="0" collapsed="false">
      <c r="A24" s="13" t="s">
        <v>149</v>
      </c>
      <c r="B24" s="13" t="s">
        <v>36</v>
      </c>
      <c r="C24" s="13" t="s">
        <v>150</v>
      </c>
      <c r="D24" s="13" t="s">
        <v>42</v>
      </c>
      <c r="E24" s="14" t="n">
        <v>3.814</v>
      </c>
      <c r="F24" s="14" t="n">
        <v>1.645</v>
      </c>
      <c r="G24" s="14" t="n">
        <v>3.079</v>
      </c>
      <c r="H24" s="14" t="n">
        <v>1.434</v>
      </c>
      <c r="I24" s="13" t="s">
        <v>100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4" t="n">
        <v>0</v>
      </c>
      <c r="AF24" s="14" t="n">
        <v>1</v>
      </c>
      <c r="AG24" s="13"/>
      <c r="AH24" s="13" t="s">
        <v>43</v>
      </c>
      <c r="AI24" s="14" t="n">
        <v>0.19</v>
      </c>
    </row>
    <row r="25" customFormat="false" ht="15" hidden="false" customHeight="true" outlineLevel="0" collapsed="false">
      <c r="A25" s="13" t="s">
        <v>154</v>
      </c>
      <c r="B25" s="13" t="s">
        <v>155</v>
      </c>
      <c r="C25" s="13" t="s">
        <v>150</v>
      </c>
      <c r="D25" s="13" t="s">
        <v>42</v>
      </c>
      <c r="E25" s="14" t="n">
        <v>9.284</v>
      </c>
      <c r="F25" s="14" t="n">
        <v>1.473</v>
      </c>
      <c r="G25" s="14" t="n">
        <v>4.213</v>
      </c>
      <c r="H25" s="14" t="n">
        <v>2.74</v>
      </c>
      <c r="I25" s="13" t="s">
        <v>100</v>
      </c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4" t="n">
        <v>0</v>
      </c>
      <c r="AF25" s="14" t="n">
        <v>3</v>
      </c>
      <c r="AG25" s="13"/>
      <c r="AH25" s="13" t="s">
        <v>43</v>
      </c>
      <c r="AI25" s="14" t="n">
        <v>0.238</v>
      </c>
    </row>
    <row r="26" customFormat="false" ht="15" hidden="false" customHeight="true" outlineLevel="0" collapsed="false">
      <c r="A26" s="13" t="s">
        <v>159</v>
      </c>
      <c r="B26" s="13" t="s">
        <v>155</v>
      </c>
      <c r="C26" s="13" t="s">
        <v>150</v>
      </c>
      <c r="D26" s="13" t="s">
        <v>42</v>
      </c>
      <c r="E26" s="14" t="n">
        <v>5.12</v>
      </c>
      <c r="F26" s="14" t="n">
        <v>1.627</v>
      </c>
      <c r="G26" s="14" t="n">
        <v>3.466</v>
      </c>
      <c r="H26" s="14" t="n">
        <v>1.839</v>
      </c>
      <c r="I26" s="13" t="s">
        <v>100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4" t="n">
        <v>0</v>
      </c>
      <c r="AF26" s="14" t="n">
        <v>1</v>
      </c>
      <c r="AG26" s="13"/>
      <c r="AH26" s="13" t="s">
        <v>43</v>
      </c>
      <c r="AI26" s="14" t="n">
        <v>0.283</v>
      </c>
    </row>
    <row r="27" customFormat="false" ht="15" hidden="false" customHeight="true" outlineLevel="0" collapsed="false">
      <c r="A27" s="13" t="s">
        <v>163</v>
      </c>
      <c r="B27" s="13" t="s">
        <v>155</v>
      </c>
      <c r="C27" s="13" t="s">
        <v>83</v>
      </c>
      <c r="D27" s="13" t="s">
        <v>42</v>
      </c>
      <c r="E27" s="14" t="n">
        <v>6.231</v>
      </c>
      <c r="F27" s="14" t="n">
        <v>1.44</v>
      </c>
      <c r="G27" s="14" t="n">
        <v>2.99</v>
      </c>
      <c r="H27" s="14" t="n">
        <v>1.55</v>
      </c>
      <c r="I27" s="13" t="s">
        <v>100</v>
      </c>
      <c r="J27" s="14" t="n">
        <v>0.606</v>
      </c>
      <c r="K27" s="14" t="n">
        <v>0.738</v>
      </c>
      <c r="L27" s="13" t="s">
        <v>58</v>
      </c>
      <c r="M27" s="14" t="n">
        <v>4.528</v>
      </c>
      <c r="N27" s="14" t="n">
        <v>0</v>
      </c>
      <c r="O27" s="14" t="n">
        <v>0.251</v>
      </c>
      <c r="P27" s="13" t="s">
        <v>60</v>
      </c>
      <c r="Q27" s="13" t="s">
        <v>106</v>
      </c>
      <c r="R27" s="14" t="n">
        <v>1.608</v>
      </c>
      <c r="S27" s="14" t="n">
        <v>1.881</v>
      </c>
      <c r="T27" s="13" t="s">
        <v>165</v>
      </c>
      <c r="U27" s="14" t="n">
        <v>1</v>
      </c>
      <c r="V27" s="14" t="n">
        <v>2.605</v>
      </c>
      <c r="W27" s="14" t="n">
        <v>1.022</v>
      </c>
      <c r="X27" s="14" t="n">
        <v>18.365</v>
      </c>
      <c r="Y27" s="13"/>
      <c r="Z27" s="14" t="n">
        <v>38.417</v>
      </c>
      <c r="AA27" s="14" t="n">
        <v>36.388</v>
      </c>
      <c r="AB27" s="14" t="n">
        <v>26.749</v>
      </c>
      <c r="AC27" s="14" t="n">
        <v>16.459</v>
      </c>
      <c r="AD27" s="14" t="n">
        <v>43.208</v>
      </c>
      <c r="AE27" s="14" t="n">
        <v>3</v>
      </c>
      <c r="AF27" s="14" t="n">
        <v>3</v>
      </c>
      <c r="AG27" s="13" t="s">
        <v>259</v>
      </c>
      <c r="AH27" s="13" t="s">
        <v>43</v>
      </c>
      <c r="AI27" s="14" t="n">
        <v>0.258</v>
      </c>
    </row>
    <row r="28" customFormat="false" ht="15" hidden="false" customHeight="true" outlineLevel="0" collapsed="false">
      <c r="A28" s="13" t="s">
        <v>167</v>
      </c>
      <c r="B28" s="13" t="s">
        <v>155</v>
      </c>
      <c r="C28" s="13" t="s">
        <v>38</v>
      </c>
      <c r="D28" s="13" t="s">
        <v>42</v>
      </c>
      <c r="E28" s="13"/>
      <c r="F28" s="14" t="n">
        <v>1.307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4" t="n">
        <v>0</v>
      </c>
      <c r="AF28" s="14" t="n">
        <v>1</v>
      </c>
      <c r="AG28" s="13"/>
      <c r="AH28" s="13" t="s">
        <v>43</v>
      </c>
      <c r="AI28" s="14" t="n">
        <v>0.389</v>
      </c>
    </row>
    <row r="29" customFormat="false" ht="15" hidden="false" customHeight="true" outlineLevel="0" collapsed="false">
      <c r="A29" s="13" t="s">
        <v>170</v>
      </c>
      <c r="B29" s="13" t="s">
        <v>155</v>
      </c>
      <c r="C29" s="13" t="s">
        <v>47</v>
      </c>
      <c r="D29" s="13" t="s">
        <v>42</v>
      </c>
      <c r="E29" s="13"/>
      <c r="F29" s="14" t="n">
        <v>0.992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4" t="n">
        <v>1</v>
      </c>
      <c r="AF29" s="14" t="n">
        <v>3</v>
      </c>
      <c r="AG29" s="13"/>
      <c r="AH29" s="13" t="s">
        <v>43</v>
      </c>
      <c r="AI29" s="14" t="n">
        <v>0.981</v>
      </c>
    </row>
    <row r="30" customFormat="false" ht="15" hidden="false" customHeight="true" outlineLevel="0" collapsed="false">
      <c r="A30" s="13" t="s">
        <v>174</v>
      </c>
      <c r="B30" s="13" t="s">
        <v>155</v>
      </c>
      <c r="C30" s="13" t="s">
        <v>38</v>
      </c>
      <c r="D30" s="13" t="s">
        <v>42</v>
      </c>
      <c r="E30" s="14" t="n">
        <v>4.319</v>
      </c>
      <c r="F30" s="14" t="n">
        <v>1.266</v>
      </c>
      <c r="G30" s="14" t="n">
        <v>2.573</v>
      </c>
      <c r="H30" s="14" t="n">
        <v>1.307</v>
      </c>
      <c r="I30" s="13" t="s">
        <v>100</v>
      </c>
      <c r="J30" s="14" t="n">
        <v>1.426</v>
      </c>
      <c r="K30" s="14" t="n">
        <v>0.148</v>
      </c>
      <c r="L30" s="13" t="s">
        <v>58</v>
      </c>
      <c r="M30" s="14" t="n">
        <v>1.255</v>
      </c>
      <c r="N30" s="14" t="n">
        <v>0</v>
      </c>
      <c r="O30" s="14" t="n">
        <v>77.818</v>
      </c>
      <c r="P30" s="13" t="s">
        <v>60</v>
      </c>
      <c r="Q30" s="13" t="s">
        <v>58</v>
      </c>
      <c r="R30" s="14" t="n">
        <v>3.483</v>
      </c>
      <c r="S30" s="14" t="n">
        <v>0.158</v>
      </c>
      <c r="T30" s="13" t="s">
        <v>176</v>
      </c>
      <c r="U30" s="14" t="n">
        <v>1</v>
      </c>
      <c r="V30" s="14" t="n">
        <v>2.603</v>
      </c>
      <c r="W30" s="14" t="n">
        <v>1.021</v>
      </c>
      <c r="X30" s="13"/>
      <c r="Y30" s="13"/>
      <c r="Z30" s="14" t="n">
        <v>28.633</v>
      </c>
      <c r="AA30" s="14" t="n">
        <v>25.51</v>
      </c>
      <c r="AB30" s="14" t="n">
        <v>10.643</v>
      </c>
      <c r="AC30" s="14" t="n">
        <v>21.043</v>
      </c>
      <c r="AD30" s="14" t="n">
        <v>31.686</v>
      </c>
      <c r="AE30" s="14" t="n">
        <v>2</v>
      </c>
      <c r="AF30" s="14" t="n">
        <v>2</v>
      </c>
      <c r="AG30" s="13" t="s">
        <v>259</v>
      </c>
      <c r="AH30" s="13" t="s">
        <v>43</v>
      </c>
      <c r="AI30" s="14" t="n">
        <v>0.193</v>
      </c>
    </row>
    <row r="31" customFormat="false" ht="15" hidden="false" customHeight="true" outlineLevel="0" collapsed="false">
      <c r="A31" s="13" t="s">
        <v>179</v>
      </c>
      <c r="B31" s="13" t="s">
        <v>155</v>
      </c>
      <c r="C31" s="13" t="s">
        <v>67</v>
      </c>
      <c r="D31" s="13" t="s">
        <v>42</v>
      </c>
      <c r="E31" s="14" t="n">
        <v>20.473</v>
      </c>
      <c r="F31" s="14" t="n">
        <v>1.198</v>
      </c>
      <c r="G31" s="14" t="n">
        <v>2.428</v>
      </c>
      <c r="H31" s="14" t="n">
        <v>1.274</v>
      </c>
      <c r="I31" s="13" t="s">
        <v>100</v>
      </c>
      <c r="J31" s="14" t="n">
        <v>0.781</v>
      </c>
      <c r="K31" s="14" t="n">
        <v>2.721</v>
      </c>
      <c r="L31" s="13" t="s">
        <v>106</v>
      </c>
      <c r="M31" s="14" t="n">
        <v>0.193</v>
      </c>
      <c r="N31" s="14" t="n">
        <v>0.193</v>
      </c>
      <c r="O31" s="13"/>
      <c r="P31" s="13" t="s">
        <v>60</v>
      </c>
      <c r="Q31" s="13" t="s">
        <v>106</v>
      </c>
      <c r="R31" s="14" t="n">
        <v>0.821</v>
      </c>
      <c r="S31" s="14" t="n">
        <v>0.951</v>
      </c>
      <c r="T31" s="13" t="s">
        <v>181</v>
      </c>
      <c r="U31" s="14" t="n">
        <v>1</v>
      </c>
      <c r="V31" s="14" t="n">
        <v>2.593</v>
      </c>
      <c r="W31" s="14" t="n">
        <v>1.029</v>
      </c>
      <c r="X31" s="14" t="n">
        <v>8.113</v>
      </c>
      <c r="Y31" s="13"/>
      <c r="Z31" s="14" t="n">
        <v>39.189</v>
      </c>
      <c r="AA31" s="14" t="n">
        <v>47.074</v>
      </c>
      <c r="AB31" s="14" t="n">
        <v>19.485</v>
      </c>
      <c r="AC31" s="14" t="n">
        <v>38.979</v>
      </c>
      <c r="AD31" s="14" t="n">
        <v>58.464</v>
      </c>
      <c r="AE31" s="14" t="n">
        <v>5</v>
      </c>
      <c r="AF31" s="14" t="n">
        <v>5</v>
      </c>
      <c r="AG31" s="13" t="s">
        <v>261</v>
      </c>
      <c r="AH31" s="13" t="s">
        <v>43</v>
      </c>
      <c r="AI31" s="14" t="n">
        <v>0.246</v>
      </c>
    </row>
    <row r="32" customFormat="false" ht="15" hidden="false" customHeight="true" outlineLevel="0" collapsed="false">
      <c r="A32" s="13" t="s">
        <v>183</v>
      </c>
      <c r="B32" s="13" t="s">
        <v>155</v>
      </c>
      <c r="C32" s="13" t="s">
        <v>76</v>
      </c>
      <c r="D32" s="13" t="s">
        <v>42</v>
      </c>
      <c r="E32" s="14" t="n">
        <v>26.045</v>
      </c>
      <c r="F32" s="14" t="n">
        <v>1.465</v>
      </c>
      <c r="G32" s="14" t="n">
        <v>1.473</v>
      </c>
      <c r="H32" s="14" t="n">
        <v>0.008</v>
      </c>
      <c r="I32" s="13" t="s">
        <v>59</v>
      </c>
      <c r="J32" s="14" t="n">
        <v>23.991</v>
      </c>
      <c r="K32" s="14" t="n">
        <v>0.425</v>
      </c>
      <c r="L32" s="13" t="s">
        <v>58</v>
      </c>
      <c r="M32" s="14" t="n">
        <v>3.814</v>
      </c>
      <c r="N32" s="14" t="n">
        <v>0</v>
      </c>
      <c r="O32" s="14" t="n">
        <v>55.574</v>
      </c>
      <c r="P32" s="13" t="s">
        <v>60</v>
      </c>
      <c r="Q32" s="13" t="s">
        <v>58</v>
      </c>
      <c r="R32" s="14" t="n">
        <v>0.937</v>
      </c>
      <c r="S32" s="14" t="n">
        <v>0.15</v>
      </c>
      <c r="T32" s="13" t="s">
        <v>186</v>
      </c>
      <c r="U32" s="14" t="n">
        <v>1</v>
      </c>
      <c r="V32" s="14" t="n">
        <v>2.593</v>
      </c>
      <c r="W32" s="14" t="n">
        <v>1.037</v>
      </c>
      <c r="X32" s="14" t="n">
        <v>7.663</v>
      </c>
      <c r="Y32" s="13"/>
      <c r="Z32" s="14" t="n">
        <v>34.527</v>
      </c>
      <c r="AA32" s="14" t="n">
        <v>52.928</v>
      </c>
      <c r="AB32" s="14" t="n">
        <v>22.082</v>
      </c>
      <c r="AC32" s="14" t="n">
        <v>37.025</v>
      </c>
      <c r="AD32" s="14" t="n">
        <v>59.107</v>
      </c>
      <c r="AE32" s="14" t="n">
        <v>5</v>
      </c>
      <c r="AF32" s="14" t="n">
        <v>4</v>
      </c>
      <c r="AG32" s="13" t="s">
        <v>259</v>
      </c>
      <c r="AH32" s="13" t="s">
        <v>43</v>
      </c>
      <c r="AI32" s="14" t="n">
        <v>0.254</v>
      </c>
    </row>
    <row r="33" customFormat="false" ht="15" hidden="false" customHeight="true" outlineLevel="0" collapsed="false">
      <c r="A33" s="13" t="s">
        <v>188</v>
      </c>
      <c r="B33" s="13" t="s">
        <v>155</v>
      </c>
      <c r="C33" s="13" t="s">
        <v>83</v>
      </c>
      <c r="D33" s="13" t="s">
        <v>42</v>
      </c>
      <c r="E33" s="14" t="n">
        <v>20.478</v>
      </c>
      <c r="F33" s="14" t="n">
        <v>1.22</v>
      </c>
      <c r="G33" s="14" t="n">
        <v>2.275</v>
      </c>
      <c r="H33" s="14" t="n">
        <v>1.055</v>
      </c>
      <c r="I33" s="13" t="s">
        <v>100</v>
      </c>
      <c r="J33" s="14" t="n">
        <v>17.812</v>
      </c>
      <c r="K33" s="14" t="n">
        <v>0.223</v>
      </c>
      <c r="L33" s="13" t="s">
        <v>58</v>
      </c>
      <c r="M33" s="14" t="n">
        <v>1.493</v>
      </c>
      <c r="N33" s="14" t="n">
        <v>0</v>
      </c>
      <c r="O33" s="14" t="n">
        <v>49.175</v>
      </c>
      <c r="P33" s="13" t="s">
        <v>60</v>
      </c>
      <c r="Q33" s="13" t="s">
        <v>58</v>
      </c>
      <c r="R33" s="14" t="n">
        <v>0.719</v>
      </c>
      <c r="S33" s="14" t="n">
        <v>0.153</v>
      </c>
      <c r="T33" s="13" t="s">
        <v>192</v>
      </c>
      <c r="U33" s="14" t="n">
        <v>1</v>
      </c>
      <c r="V33" s="14" t="n">
        <v>2.602</v>
      </c>
      <c r="W33" s="14" t="n">
        <v>1.024</v>
      </c>
      <c r="X33" s="14" t="n">
        <v>7.658</v>
      </c>
      <c r="Y33" s="13"/>
      <c r="Z33" s="14" t="n">
        <v>49.963</v>
      </c>
      <c r="AA33" s="14" t="n">
        <v>58.532</v>
      </c>
      <c r="AB33" s="14" t="n">
        <v>53.559</v>
      </c>
      <c r="AC33" s="14" t="n">
        <v>15.662</v>
      </c>
      <c r="AD33" s="14" t="n">
        <v>69.221</v>
      </c>
      <c r="AE33" s="14" t="n">
        <v>6</v>
      </c>
      <c r="AF33" s="14" t="n">
        <v>7</v>
      </c>
      <c r="AG33" s="13" t="s">
        <v>259</v>
      </c>
      <c r="AH33" s="13" t="s">
        <v>43</v>
      </c>
      <c r="AI33" s="14" t="n">
        <v>0.268</v>
      </c>
    </row>
    <row r="34" customFormat="false" ht="15" hidden="false" customHeight="true" outlineLevel="0" collapsed="false">
      <c r="A34" s="13" t="s">
        <v>194</v>
      </c>
      <c r="B34" s="13" t="s">
        <v>155</v>
      </c>
      <c r="C34" s="13" t="s">
        <v>150</v>
      </c>
      <c r="D34" s="13" t="s">
        <v>42</v>
      </c>
      <c r="E34" s="14" t="n">
        <v>3.012</v>
      </c>
      <c r="F34" s="14" t="n">
        <v>1.333</v>
      </c>
      <c r="G34" s="14" t="n">
        <v>2.58</v>
      </c>
      <c r="H34" s="14" t="n">
        <v>1.247</v>
      </c>
      <c r="I34" s="13" t="s">
        <v>100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4" t="n">
        <v>0</v>
      </c>
      <c r="AF34" s="14" t="n">
        <v>3</v>
      </c>
      <c r="AG34" s="13"/>
      <c r="AH34" s="13" t="s">
        <v>43</v>
      </c>
      <c r="AI34" s="14" t="n">
        <v>0.236</v>
      </c>
    </row>
    <row r="35" customFormat="false" ht="15" hidden="false" customHeight="true" outlineLevel="0" collapsed="false">
      <c r="A35" s="13" t="s">
        <v>199</v>
      </c>
      <c r="B35" s="13" t="s">
        <v>155</v>
      </c>
      <c r="C35" s="13" t="s">
        <v>38</v>
      </c>
      <c r="D35" s="13" t="s">
        <v>42</v>
      </c>
      <c r="E35" s="13"/>
      <c r="F35" s="14" t="n">
        <v>2.289</v>
      </c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4" t="n">
        <v>0</v>
      </c>
      <c r="AF35" s="14" t="n">
        <v>1</v>
      </c>
      <c r="AG35" s="13"/>
      <c r="AH35" s="13" t="s">
        <v>43</v>
      </c>
      <c r="AI35" s="14" t="n">
        <v>0.211</v>
      </c>
    </row>
    <row r="36" customFormat="false" ht="15" hidden="false" customHeight="true" outlineLevel="0" collapsed="false">
      <c r="A36" s="13" t="s">
        <v>202</v>
      </c>
      <c r="B36" s="13" t="s">
        <v>155</v>
      </c>
      <c r="C36" s="13" t="s">
        <v>47</v>
      </c>
      <c r="D36" s="13" t="s">
        <v>42</v>
      </c>
      <c r="E36" s="13"/>
      <c r="F36" s="14" t="n">
        <v>1.263</v>
      </c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4" t="n">
        <v>0</v>
      </c>
      <c r="AF36" s="14" t="n">
        <v>2</v>
      </c>
      <c r="AG36" s="13"/>
      <c r="AH36" s="13" t="s">
        <v>43</v>
      </c>
      <c r="AI36" s="14" t="n">
        <v>1.169</v>
      </c>
    </row>
    <row r="37" customFormat="false" ht="15" hidden="false" customHeight="true" outlineLevel="0" collapsed="false">
      <c r="A37" s="13" t="s">
        <v>206</v>
      </c>
      <c r="B37" s="13" t="s">
        <v>155</v>
      </c>
      <c r="C37" s="13" t="s">
        <v>67</v>
      </c>
      <c r="D37" s="13" t="s">
        <v>42</v>
      </c>
      <c r="E37" s="14" t="n">
        <v>26.927</v>
      </c>
      <c r="F37" s="14" t="n">
        <v>1.192</v>
      </c>
      <c r="G37" s="14" t="n">
        <v>1.197</v>
      </c>
      <c r="H37" s="14" t="n">
        <v>0.005</v>
      </c>
      <c r="I37" s="13" t="s">
        <v>59</v>
      </c>
      <c r="J37" s="14" t="n">
        <v>22.376</v>
      </c>
      <c r="K37" s="14" t="n">
        <v>2.124</v>
      </c>
      <c r="L37" s="13" t="s">
        <v>106</v>
      </c>
      <c r="M37" s="14" t="n">
        <v>0.206</v>
      </c>
      <c r="N37" s="14" t="n">
        <v>0.206</v>
      </c>
      <c r="O37" s="13"/>
      <c r="P37" s="13" t="s">
        <v>60</v>
      </c>
      <c r="Q37" s="13" t="s">
        <v>106</v>
      </c>
      <c r="R37" s="14" t="n">
        <v>1.018</v>
      </c>
      <c r="S37" s="14" t="n">
        <v>1.222</v>
      </c>
      <c r="T37" s="13" t="s">
        <v>61</v>
      </c>
      <c r="U37" s="14" t="n">
        <v>1</v>
      </c>
      <c r="V37" s="14" t="n">
        <v>2.588</v>
      </c>
      <c r="W37" s="14" t="n">
        <v>1.044</v>
      </c>
      <c r="X37" s="14" t="n">
        <v>8.31</v>
      </c>
      <c r="Y37" s="13"/>
      <c r="Z37" s="14" t="n">
        <v>61.207</v>
      </c>
      <c r="AA37" s="14" t="n">
        <v>80.675</v>
      </c>
      <c r="AB37" s="14" t="n">
        <v>37.635</v>
      </c>
      <c r="AC37" s="14" t="n">
        <v>49.307</v>
      </c>
      <c r="AD37" s="14" t="n">
        <v>86.942</v>
      </c>
      <c r="AE37" s="14" t="n">
        <v>7</v>
      </c>
      <c r="AF37" s="14" t="n">
        <v>8</v>
      </c>
      <c r="AG37" s="13" t="s">
        <v>261</v>
      </c>
      <c r="AH37" s="13" t="s">
        <v>43</v>
      </c>
      <c r="AI37" s="14" t="n">
        <v>0.428</v>
      </c>
    </row>
    <row r="38" customFormat="false" ht="15" hidden="false" customHeight="true" outlineLevel="0" collapsed="false">
      <c r="A38" s="13" t="s">
        <v>211</v>
      </c>
      <c r="B38" s="13" t="s">
        <v>155</v>
      </c>
      <c r="C38" s="13" t="s">
        <v>76</v>
      </c>
      <c r="D38" s="13" t="s">
        <v>42</v>
      </c>
      <c r="E38" s="14" t="n">
        <v>10.564</v>
      </c>
      <c r="F38" s="14" t="n">
        <v>1.255</v>
      </c>
      <c r="G38" s="14" t="n">
        <v>1.26</v>
      </c>
      <c r="H38" s="14" t="n">
        <v>0.005</v>
      </c>
      <c r="I38" s="13" t="s">
        <v>59</v>
      </c>
      <c r="J38" s="14" t="n">
        <v>8.896</v>
      </c>
      <c r="K38" s="14" t="n">
        <v>0.24</v>
      </c>
      <c r="L38" s="13" t="s">
        <v>58</v>
      </c>
      <c r="M38" s="14" t="n">
        <v>7.144</v>
      </c>
      <c r="N38" s="14" t="n">
        <v>0</v>
      </c>
      <c r="O38" s="14" t="n">
        <v>74.795</v>
      </c>
      <c r="P38" s="13" t="s">
        <v>60</v>
      </c>
      <c r="Q38" s="13" t="s">
        <v>58</v>
      </c>
      <c r="R38" s="14" t="n">
        <v>1.097</v>
      </c>
      <c r="S38" s="14" t="n">
        <v>0.166</v>
      </c>
      <c r="T38" s="13" t="s">
        <v>111</v>
      </c>
      <c r="U38" s="14" t="n">
        <v>1</v>
      </c>
      <c r="V38" s="14" t="n">
        <v>2.595</v>
      </c>
      <c r="W38" s="14" t="n">
        <v>1.024</v>
      </c>
      <c r="X38" s="14" t="n">
        <v>11.581</v>
      </c>
      <c r="Y38" s="13"/>
      <c r="Z38" s="14" t="n">
        <v>35.332</v>
      </c>
      <c r="AA38" s="14" t="n">
        <v>42.515</v>
      </c>
      <c r="AB38" s="14" t="n">
        <v>20.571</v>
      </c>
      <c r="AC38" s="14" t="n">
        <v>24.07</v>
      </c>
      <c r="AD38" s="14" t="n">
        <v>44.641</v>
      </c>
      <c r="AE38" s="14" t="n">
        <v>6</v>
      </c>
      <c r="AF38" s="14" t="n">
        <v>5</v>
      </c>
      <c r="AG38" s="13" t="s">
        <v>259</v>
      </c>
      <c r="AH38" s="13" t="s">
        <v>43</v>
      </c>
      <c r="AI38" s="14" t="n">
        <v>0.292</v>
      </c>
    </row>
    <row r="39" customFormat="false" ht="15" hidden="false" customHeight="true" outlineLevel="0" collapsed="false">
      <c r="A39" s="13" t="s">
        <v>214</v>
      </c>
      <c r="B39" s="13" t="s">
        <v>155</v>
      </c>
      <c r="C39" s="13" t="s">
        <v>83</v>
      </c>
      <c r="D39" s="13" t="s">
        <v>42</v>
      </c>
      <c r="E39" s="14" t="n">
        <v>18.053</v>
      </c>
      <c r="F39" s="14" t="n">
        <v>1.521</v>
      </c>
      <c r="G39" s="14" t="n">
        <v>0.961</v>
      </c>
      <c r="H39" s="14" t="n">
        <v>0.004</v>
      </c>
      <c r="I39" s="13" t="s">
        <v>59</v>
      </c>
      <c r="J39" s="14" t="n">
        <v>0.054</v>
      </c>
      <c r="K39" s="14" t="n">
        <v>0.173</v>
      </c>
      <c r="L39" s="13" t="s">
        <v>58</v>
      </c>
      <c r="M39" s="14" t="n">
        <v>1.957</v>
      </c>
      <c r="N39" s="14" t="n">
        <v>0</v>
      </c>
      <c r="O39" s="14" t="n">
        <v>267.608</v>
      </c>
      <c r="P39" s="13" t="s">
        <v>60</v>
      </c>
      <c r="Q39" s="13" t="s">
        <v>58</v>
      </c>
      <c r="R39" s="14" t="n">
        <v>0.783</v>
      </c>
      <c r="S39" s="14" t="n">
        <v>0.115</v>
      </c>
      <c r="T39" s="13" t="s">
        <v>218</v>
      </c>
      <c r="U39" s="14" t="n">
        <v>1</v>
      </c>
      <c r="V39" s="14" t="n">
        <v>2.587</v>
      </c>
      <c r="W39" s="14" t="n">
        <v>1.034</v>
      </c>
      <c r="X39" s="14" t="n">
        <v>7.651</v>
      </c>
      <c r="Y39" s="13"/>
      <c r="Z39" s="14" t="n">
        <v>37.022</v>
      </c>
      <c r="AA39" s="14" t="n">
        <v>47.578</v>
      </c>
      <c r="AB39" s="14" t="n">
        <v>40.775</v>
      </c>
      <c r="AC39" s="14" t="n">
        <v>12.779</v>
      </c>
      <c r="AD39" s="14" t="n">
        <v>53.554</v>
      </c>
      <c r="AE39" s="14" t="n">
        <v>7</v>
      </c>
      <c r="AF39" s="14" t="n">
        <v>6</v>
      </c>
      <c r="AG39" s="13" t="s">
        <v>259</v>
      </c>
      <c r="AH39" s="13" t="s">
        <v>43</v>
      </c>
      <c r="AI39" s="14" t="n">
        <v>0.273</v>
      </c>
    </row>
    <row r="40" customFormat="false" ht="15" hidden="false" customHeight="true" outlineLevel="0" collapsed="false">
      <c r="A40" s="13" t="s">
        <v>220</v>
      </c>
      <c r="B40" s="13" t="s">
        <v>155</v>
      </c>
      <c r="C40" s="13" t="s">
        <v>150</v>
      </c>
      <c r="D40" s="13" t="s">
        <v>42</v>
      </c>
      <c r="E40" s="14" t="n">
        <v>2.44</v>
      </c>
      <c r="F40" s="14" t="n">
        <v>1.288</v>
      </c>
      <c r="G40" s="14" t="n">
        <v>2.223</v>
      </c>
      <c r="H40" s="14" t="n">
        <v>0.935</v>
      </c>
      <c r="I40" s="13" t="s">
        <v>100</v>
      </c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4" t="n">
        <v>1</v>
      </c>
      <c r="AF40" s="14" t="n">
        <v>5</v>
      </c>
      <c r="AG40" s="13"/>
      <c r="AH40" s="13" t="s">
        <v>43</v>
      </c>
      <c r="AI40" s="14" t="n">
        <v>0.236</v>
      </c>
    </row>
    <row r="41" customFormat="false" ht="15" hidden="false" customHeight="false" outlineLevel="0" collapsed="false">
      <c r="A41" s="15" t="s">
        <v>224</v>
      </c>
      <c r="B41" s="15" t="s">
        <v>155</v>
      </c>
      <c r="C41" s="15" t="s">
        <v>54</v>
      </c>
      <c r="D41" s="15" t="s">
        <v>42</v>
      </c>
      <c r="E41" s="16" t="n">
        <v>4.418</v>
      </c>
      <c r="F41" s="16" t="n">
        <v>2.201</v>
      </c>
      <c r="G41" s="16" t="n">
        <v>3.579</v>
      </c>
      <c r="H41" s="16" t="n">
        <v>1.378</v>
      </c>
      <c r="I41" s="15" t="s">
        <v>100</v>
      </c>
      <c r="J41" s="16" t="n">
        <v>0.508</v>
      </c>
      <c r="K41" s="16" t="n">
        <v>0.19</v>
      </c>
      <c r="L41" s="15" t="s">
        <v>58</v>
      </c>
      <c r="M41" s="16" t="n">
        <v>1.325</v>
      </c>
      <c r="N41" s="16" t="n">
        <v>0</v>
      </c>
      <c r="O41" s="16" t="n">
        <v>38.581</v>
      </c>
      <c r="P41" s="15" t="s">
        <v>60</v>
      </c>
      <c r="Q41" s="15" t="s">
        <v>58</v>
      </c>
      <c r="R41" s="16" t="n">
        <v>0.994</v>
      </c>
      <c r="S41" s="16" t="n">
        <v>0.139</v>
      </c>
      <c r="T41" s="15" t="s">
        <v>227</v>
      </c>
      <c r="U41" s="16" t="n">
        <v>1</v>
      </c>
      <c r="V41" s="16" t="n">
        <v>2.608</v>
      </c>
      <c r="W41" s="16" t="n">
        <v>1.033</v>
      </c>
      <c r="X41" s="16" t="n">
        <v>8.816</v>
      </c>
      <c r="Y41" s="15"/>
      <c r="Z41" s="16" t="n">
        <v>40.255</v>
      </c>
      <c r="AA41" s="16" t="n">
        <v>41.29</v>
      </c>
      <c r="AB41" s="16" t="n">
        <v>22.275</v>
      </c>
      <c r="AC41" s="16" t="n">
        <v>20.197</v>
      </c>
      <c r="AD41" s="16" t="n">
        <v>42.472</v>
      </c>
      <c r="AE41" s="16" t="n">
        <v>4</v>
      </c>
      <c r="AF41" s="16" t="n">
        <v>4</v>
      </c>
      <c r="AG41" s="15" t="s">
        <v>259</v>
      </c>
      <c r="AH41" s="15" t="s">
        <v>43</v>
      </c>
      <c r="AI41" s="16" t="n">
        <v>0.291</v>
      </c>
    </row>
  </sheetData>
  <autoFilter ref="A2:AI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1"/>
    <col collapsed="false" customWidth="true" hidden="false" outlineLevel="0" max="4" min="4" style="1" width="14"/>
    <col collapsed="false" customWidth="true" hidden="false" outlineLevel="0" max="5" min="5" style="1" width="9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262</v>
      </c>
      <c r="D1" s="2" t="s">
        <v>263</v>
      </c>
      <c r="E1" s="2" t="s">
        <v>264</v>
      </c>
    </row>
    <row r="2" customFormat="false" ht="15" hidden="false" customHeight="true" outlineLevel="0" collapsed="false">
      <c r="A2" s="4" t="s">
        <v>35</v>
      </c>
      <c r="B2" s="4" t="s">
        <v>36</v>
      </c>
      <c r="C2" s="6" t="n">
        <v>4.584</v>
      </c>
      <c r="D2" s="17" t="s">
        <v>265</v>
      </c>
      <c r="E2" s="18" t="s">
        <v>41</v>
      </c>
    </row>
    <row r="3" customFormat="false" ht="15" hidden="false" customHeight="true" outlineLevel="0" collapsed="false">
      <c r="A3" s="4" t="s">
        <v>35</v>
      </c>
      <c r="B3" s="4" t="s">
        <v>36</v>
      </c>
      <c r="C3" s="6" t="n">
        <v>5.974</v>
      </c>
      <c r="D3" s="4" t="s">
        <v>266</v>
      </c>
      <c r="E3" s="18" t="s">
        <v>267</v>
      </c>
    </row>
    <row r="4" customFormat="false" ht="15" hidden="false" customHeight="true" outlineLevel="0" collapsed="false">
      <c r="A4" s="4" t="s">
        <v>46</v>
      </c>
      <c r="B4" s="4" t="s">
        <v>36</v>
      </c>
      <c r="C4" s="6" t="n">
        <v>4.024</v>
      </c>
      <c r="D4" s="17" t="s">
        <v>265</v>
      </c>
      <c r="E4" s="18" t="s">
        <v>49</v>
      </c>
    </row>
    <row r="5" customFormat="false" ht="15" hidden="false" customHeight="true" outlineLevel="0" collapsed="false">
      <c r="A5" s="4" t="s">
        <v>46</v>
      </c>
      <c r="B5" s="4" t="s">
        <v>36</v>
      </c>
      <c r="C5" s="6" t="n">
        <v>5.266</v>
      </c>
      <c r="D5" s="4" t="s">
        <v>266</v>
      </c>
      <c r="E5" s="18" t="s">
        <v>268</v>
      </c>
    </row>
    <row r="6" customFormat="false" ht="15" hidden="false" customHeight="true" outlineLevel="0" collapsed="false">
      <c r="A6" s="4" t="s">
        <v>46</v>
      </c>
      <c r="B6" s="4" t="s">
        <v>36</v>
      </c>
      <c r="C6" s="6" t="n">
        <v>8.114</v>
      </c>
      <c r="D6" s="4" t="s">
        <v>266</v>
      </c>
      <c r="E6" s="18" t="s">
        <v>267</v>
      </c>
    </row>
    <row r="7" customFormat="false" ht="15" hidden="false" customHeight="true" outlineLevel="0" collapsed="false">
      <c r="A7" s="4" t="s">
        <v>46</v>
      </c>
      <c r="B7" s="4" t="s">
        <v>36</v>
      </c>
      <c r="C7" s="6" t="n">
        <v>13.78</v>
      </c>
      <c r="D7" s="4" t="s">
        <v>266</v>
      </c>
      <c r="E7" s="18" t="s">
        <v>269</v>
      </c>
    </row>
    <row r="8" customFormat="false" ht="15" hidden="false" customHeight="true" outlineLevel="0" collapsed="false">
      <c r="A8" s="4" t="s">
        <v>53</v>
      </c>
      <c r="B8" s="4" t="s">
        <v>36</v>
      </c>
      <c r="C8" s="6" t="n">
        <v>4.529</v>
      </c>
      <c r="D8" s="17" t="s">
        <v>265</v>
      </c>
      <c r="E8" s="18" t="s">
        <v>56</v>
      </c>
    </row>
    <row r="9" customFormat="false" ht="15" hidden="false" customHeight="true" outlineLevel="0" collapsed="false">
      <c r="A9" s="4" t="s">
        <v>53</v>
      </c>
      <c r="B9" s="4" t="s">
        <v>36</v>
      </c>
      <c r="C9" s="6" t="n">
        <v>4.54</v>
      </c>
      <c r="D9" s="4" t="s">
        <v>270</v>
      </c>
      <c r="E9" s="18" t="s">
        <v>271</v>
      </c>
    </row>
    <row r="10" customFormat="false" ht="15" hidden="false" customHeight="true" outlineLevel="0" collapsed="false">
      <c r="A10" s="4" t="s">
        <v>53</v>
      </c>
      <c r="B10" s="4" t="s">
        <v>36</v>
      </c>
      <c r="C10" s="6" t="n">
        <v>8.4</v>
      </c>
      <c r="D10" s="4" t="s">
        <v>266</v>
      </c>
      <c r="E10" s="18" t="s">
        <v>272</v>
      </c>
    </row>
    <row r="11" customFormat="false" ht="15" hidden="false" customHeight="true" outlineLevel="0" collapsed="false">
      <c r="A11" s="4" t="s">
        <v>53</v>
      </c>
      <c r="B11" s="4" t="s">
        <v>36</v>
      </c>
      <c r="C11" s="6" t="n">
        <v>13.984</v>
      </c>
      <c r="D11" s="4" t="s">
        <v>266</v>
      </c>
      <c r="E11" s="18" t="s">
        <v>273</v>
      </c>
    </row>
    <row r="12" customFormat="false" ht="15" hidden="false" customHeight="true" outlineLevel="0" collapsed="false">
      <c r="A12" s="4" t="s">
        <v>53</v>
      </c>
      <c r="B12" s="4" t="s">
        <v>36</v>
      </c>
      <c r="C12" s="6" t="n">
        <v>20.882</v>
      </c>
      <c r="D12" s="17" t="s">
        <v>265</v>
      </c>
      <c r="E12" s="18" t="s">
        <v>86</v>
      </c>
    </row>
    <row r="13" customFormat="false" ht="15" hidden="false" customHeight="true" outlineLevel="0" collapsed="false">
      <c r="A13" s="4" t="s">
        <v>53</v>
      </c>
      <c r="B13" s="4" t="s">
        <v>36</v>
      </c>
      <c r="C13" s="6" t="n">
        <v>20.9</v>
      </c>
      <c r="D13" s="4" t="s">
        <v>270</v>
      </c>
      <c r="E13" s="18" t="s">
        <v>57</v>
      </c>
    </row>
    <row r="14" customFormat="false" ht="15" hidden="false" customHeight="true" outlineLevel="0" collapsed="false">
      <c r="A14" s="4" t="s">
        <v>53</v>
      </c>
      <c r="B14" s="4" t="s">
        <v>36</v>
      </c>
      <c r="C14" s="6" t="n">
        <v>20.971</v>
      </c>
      <c r="D14" s="4" t="s">
        <v>266</v>
      </c>
      <c r="E14" s="18" t="s">
        <v>274</v>
      </c>
    </row>
    <row r="15" customFormat="false" ht="15" hidden="false" customHeight="true" outlineLevel="0" collapsed="false">
      <c r="A15" s="4" t="s">
        <v>53</v>
      </c>
      <c r="B15" s="4" t="s">
        <v>36</v>
      </c>
      <c r="C15" s="6" t="n">
        <v>26.04</v>
      </c>
      <c r="D15" s="4" t="s">
        <v>266</v>
      </c>
      <c r="E15" s="18" t="s">
        <v>275</v>
      </c>
    </row>
    <row r="16" customFormat="false" ht="15" hidden="false" customHeight="true" outlineLevel="0" collapsed="false">
      <c r="A16" s="4" t="s">
        <v>53</v>
      </c>
      <c r="B16" s="4" t="s">
        <v>36</v>
      </c>
      <c r="C16" s="6" t="n">
        <v>34.921</v>
      </c>
      <c r="D16" s="17" t="s">
        <v>265</v>
      </c>
      <c r="E16" s="18" t="s">
        <v>276</v>
      </c>
    </row>
    <row r="17" customFormat="false" ht="15" hidden="false" customHeight="true" outlineLevel="0" collapsed="false">
      <c r="A17" s="4" t="s">
        <v>53</v>
      </c>
      <c r="B17" s="4" t="s">
        <v>36</v>
      </c>
      <c r="C17" s="6" t="n">
        <v>34.988</v>
      </c>
      <c r="D17" s="4" t="s">
        <v>270</v>
      </c>
      <c r="E17" s="18" t="s">
        <v>277</v>
      </c>
    </row>
    <row r="18" customFormat="false" ht="15" hidden="false" customHeight="true" outlineLevel="0" collapsed="false">
      <c r="A18" s="4" t="s">
        <v>53</v>
      </c>
      <c r="B18" s="4" t="s">
        <v>36</v>
      </c>
      <c r="C18" s="6" t="n">
        <v>35.032</v>
      </c>
      <c r="D18" s="4" t="s">
        <v>266</v>
      </c>
      <c r="E18" s="18" t="s">
        <v>278</v>
      </c>
    </row>
    <row r="19" customFormat="false" ht="15" hidden="false" customHeight="true" outlineLevel="0" collapsed="false">
      <c r="A19" s="4" t="s">
        <v>53</v>
      </c>
      <c r="B19" s="4" t="s">
        <v>36</v>
      </c>
      <c r="C19" s="6" t="n">
        <v>38.779</v>
      </c>
      <c r="D19" s="4" t="s">
        <v>266</v>
      </c>
      <c r="E19" s="18" t="s">
        <v>279</v>
      </c>
    </row>
    <row r="20" customFormat="false" ht="15" hidden="false" customHeight="true" outlineLevel="0" collapsed="false">
      <c r="A20" s="4" t="s">
        <v>53</v>
      </c>
      <c r="B20" s="4" t="s">
        <v>36</v>
      </c>
      <c r="C20" s="6" t="n">
        <v>43.952</v>
      </c>
      <c r="D20" s="17" t="s">
        <v>265</v>
      </c>
      <c r="E20" s="18" t="s">
        <v>280</v>
      </c>
    </row>
    <row r="21" customFormat="false" ht="15" hidden="false" customHeight="true" outlineLevel="0" collapsed="false">
      <c r="A21" s="4" t="s">
        <v>53</v>
      </c>
      <c r="B21" s="4" t="s">
        <v>36</v>
      </c>
      <c r="C21" s="6" t="n">
        <v>44.002</v>
      </c>
      <c r="D21" s="4" t="s">
        <v>270</v>
      </c>
      <c r="E21" s="18" t="s">
        <v>281</v>
      </c>
    </row>
    <row r="22" customFormat="false" ht="15" hidden="false" customHeight="true" outlineLevel="0" collapsed="false">
      <c r="A22" s="4" t="s">
        <v>53</v>
      </c>
      <c r="B22" s="4" t="s">
        <v>36</v>
      </c>
      <c r="C22" s="6" t="n">
        <v>44.019</v>
      </c>
      <c r="D22" s="4" t="s">
        <v>266</v>
      </c>
      <c r="E22" s="18" t="s">
        <v>282</v>
      </c>
    </row>
    <row r="23" customFormat="false" ht="15" hidden="false" customHeight="true" outlineLevel="0" collapsed="false">
      <c r="A23" s="4" t="s">
        <v>53</v>
      </c>
      <c r="B23" s="4" t="s">
        <v>36</v>
      </c>
      <c r="C23" s="6" t="n">
        <v>49.626</v>
      </c>
      <c r="D23" s="4" t="s">
        <v>266</v>
      </c>
      <c r="E23" s="18" t="s">
        <v>283</v>
      </c>
    </row>
    <row r="24" customFormat="false" ht="15" hidden="false" customHeight="true" outlineLevel="0" collapsed="false">
      <c r="A24" s="4" t="s">
        <v>66</v>
      </c>
      <c r="B24" s="4" t="s">
        <v>36</v>
      </c>
      <c r="C24" s="6" t="n">
        <v>11.755</v>
      </c>
      <c r="D24" s="17" t="s">
        <v>265</v>
      </c>
      <c r="E24" s="18" t="s">
        <v>69</v>
      </c>
    </row>
    <row r="25" customFormat="false" ht="15" hidden="false" customHeight="true" outlineLevel="0" collapsed="false">
      <c r="A25" s="4" t="s">
        <v>66</v>
      </c>
      <c r="B25" s="4" t="s">
        <v>36</v>
      </c>
      <c r="C25" s="6" t="n">
        <v>11.761</v>
      </c>
      <c r="D25" s="4" t="s">
        <v>270</v>
      </c>
      <c r="E25" s="18" t="s">
        <v>284</v>
      </c>
    </row>
    <row r="26" customFormat="false" ht="15" hidden="false" customHeight="true" outlineLevel="0" collapsed="false">
      <c r="A26" s="4" t="s">
        <v>66</v>
      </c>
      <c r="B26" s="4" t="s">
        <v>36</v>
      </c>
      <c r="C26" s="6" t="n">
        <v>11.815</v>
      </c>
      <c r="D26" s="4" t="s">
        <v>266</v>
      </c>
      <c r="E26" s="18" t="s">
        <v>285</v>
      </c>
    </row>
    <row r="27" customFormat="false" ht="15" hidden="false" customHeight="true" outlineLevel="0" collapsed="false">
      <c r="A27" s="4" t="s">
        <v>66</v>
      </c>
      <c r="B27" s="4" t="s">
        <v>36</v>
      </c>
      <c r="C27" s="6" t="n">
        <v>20.618</v>
      </c>
      <c r="D27" s="17" t="s">
        <v>265</v>
      </c>
      <c r="E27" s="18" t="s">
        <v>286</v>
      </c>
    </row>
    <row r="28" customFormat="false" ht="15" hidden="false" customHeight="true" outlineLevel="0" collapsed="false">
      <c r="A28" s="4" t="s">
        <v>66</v>
      </c>
      <c r="B28" s="4" t="s">
        <v>36</v>
      </c>
      <c r="C28" s="6" t="n">
        <v>21.632</v>
      </c>
      <c r="D28" s="4" t="s">
        <v>270</v>
      </c>
      <c r="E28" s="18" t="s">
        <v>287</v>
      </c>
    </row>
    <row r="29" customFormat="false" ht="15" hidden="false" customHeight="true" outlineLevel="0" collapsed="false">
      <c r="A29" s="4" t="s">
        <v>66</v>
      </c>
      <c r="B29" s="4" t="s">
        <v>36</v>
      </c>
      <c r="C29" s="6" t="n">
        <v>21.687</v>
      </c>
      <c r="D29" s="4" t="s">
        <v>266</v>
      </c>
      <c r="E29" s="18" t="s">
        <v>288</v>
      </c>
    </row>
    <row r="30" customFormat="false" ht="15" hidden="false" customHeight="true" outlineLevel="0" collapsed="false">
      <c r="A30" s="4" t="s">
        <v>66</v>
      </c>
      <c r="B30" s="4" t="s">
        <v>36</v>
      </c>
      <c r="C30" s="6" t="n">
        <v>24.057</v>
      </c>
      <c r="D30" s="4" t="s">
        <v>266</v>
      </c>
      <c r="E30" s="18" t="s">
        <v>289</v>
      </c>
    </row>
    <row r="31" customFormat="false" ht="15" hidden="false" customHeight="true" outlineLevel="0" collapsed="false">
      <c r="A31" s="4" t="s">
        <v>66</v>
      </c>
      <c r="B31" s="4" t="s">
        <v>36</v>
      </c>
      <c r="C31" s="6" t="n">
        <v>27.467</v>
      </c>
      <c r="D31" s="4" t="s">
        <v>266</v>
      </c>
      <c r="E31" s="18" t="s">
        <v>290</v>
      </c>
    </row>
    <row r="32" customFormat="false" ht="15" hidden="false" customHeight="true" outlineLevel="0" collapsed="false">
      <c r="A32" s="4" t="s">
        <v>66</v>
      </c>
      <c r="B32" s="4" t="s">
        <v>36</v>
      </c>
      <c r="C32" s="6" t="n">
        <v>35.119</v>
      </c>
      <c r="D32" s="17" t="s">
        <v>265</v>
      </c>
      <c r="E32" s="18" t="s">
        <v>291</v>
      </c>
    </row>
    <row r="33" customFormat="false" ht="15" hidden="false" customHeight="true" outlineLevel="0" collapsed="false">
      <c r="A33" s="4" t="s">
        <v>66</v>
      </c>
      <c r="B33" s="4" t="s">
        <v>36</v>
      </c>
      <c r="C33" s="6" t="n">
        <v>35.125</v>
      </c>
      <c r="D33" s="4" t="s">
        <v>270</v>
      </c>
      <c r="E33" s="18" t="s">
        <v>71</v>
      </c>
    </row>
    <row r="34" customFormat="false" ht="15" hidden="false" customHeight="true" outlineLevel="0" collapsed="false">
      <c r="A34" s="4" t="s">
        <v>66</v>
      </c>
      <c r="B34" s="4" t="s">
        <v>36</v>
      </c>
      <c r="C34" s="6" t="n">
        <v>35.188</v>
      </c>
      <c r="D34" s="4" t="s">
        <v>266</v>
      </c>
      <c r="E34" s="18" t="s">
        <v>292</v>
      </c>
    </row>
    <row r="35" customFormat="false" ht="15" hidden="false" customHeight="true" outlineLevel="0" collapsed="false">
      <c r="A35" s="4" t="s">
        <v>66</v>
      </c>
      <c r="B35" s="4" t="s">
        <v>36</v>
      </c>
      <c r="C35" s="6" t="n">
        <v>38.412</v>
      </c>
      <c r="D35" s="4" t="s">
        <v>266</v>
      </c>
      <c r="E35" s="18" t="s">
        <v>293</v>
      </c>
    </row>
    <row r="36" customFormat="false" ht="15" hidden="false" customHeight="true" outlineLevel="0" collapsed="false">
      <c r="A36" s="4" t="s">
        <v>66</v>
      </c>
      <c r="B36" s="4" t="s">
        <v>36</v>
      </c>
      <c r="C36" s="6" t="n">
        <v>47.32</v>
      </c>
      <c r="D36" s="17" t="s">
        <v>265</v>
      </c>
      <c r="E36" s="18" t="s">
        <v>294</v>
      </c>
    </row>
    <row r="37" customFormat="false" ht="15" hidden="false" customHeight="true" outlineLevel="0" collapsed="false">
      <c r="A37" s="4" t="s">
        <v>66</v>
      </c>
      <c r="B37" s="4" t="s">
        <v>36</v>
      </c>
      <c r="C37" s="6" t="n">
        <v>47.325</v>
      </c>
      <c r="D37" s="4" t="s">
        <v>270</v>
      </c>
      <c r="E37" s="18" t="s">
        <v>277</v>
      </c>
    </row>
    <row r="38" customFormat="false" ht="15" hidden="false" customHeight="true" outlineLevel="0" collapsed="false">
      <c r="A38" s="4" t="s">
        <v>66</v>
      </c>
      <c r="B38" s="4" t="s">
        <v>36</v>
      </c>
      <c r="C38" s="6" t="n">
        <v>47.385</v>
      </c>
      <c r="D38" s="4" t="s">
        <v>266</v>
      </c>
      <c r="E38" s="18" t="s">
        <v>278</v>
      </c>
    </row>
    <row r="39" customFormat="false" ht="15" hidden="false" customHeight="true" outlineLevel="0" collapsed="false">
      <c r="A39" s="4" t="s">
        <v>66</v>
      </c>
      <c r="B39" s="4" t="s">
        <v>36</v>
      </c>
      <c r="C39" s="6" t="n">
        <v>50.963</v>
      </c>
      <c r="D39" s="4" t="s">
        <v>266</v>
      </c>
      <c r="E39" s="18" t="s">
        <v>279</v>
      </c>
    </row>
    <row r="40" customFormat="false" ht="15" hidden="false" customHeight="true" outlineLevel="0" collapsed="false">
      <c r="A40" s="4" t="s">
        <v>66</v>
      </c>
      <c r="B40" s="4" t="s">
        <v>36</v>
      </c>
      <c r="C40" s="6" t="n">
        <v>56.937</v>
      </c>
      <c r="D40" s="17" t="s">
        <v>265</v>
      </c>
      <c r="E40" s="18" t="s">
        <v>280</v>
      </c>
    </row>
    <row r="41" customFormat="false" ht="15" hidden="false" customHeight="true" outlineLevel="0" collapsed="false">
      <c r="A41" s="4" t="s">
        <v>66</v>
      </c>
      <c r="B41" s="4" t="s">
        <v>36</v>
      </c>
      <c r="C41" s="6" t="n">
        <v>56.949</v>
      </c>
      <c r="D41" s="4" t="s">
        <v>270</v>
      </c>
      <c r="E41" s="18" t="s">
        <v>281</v>
      </c>
    </row>
    <row r="42" customFormat="false" ht="15" hidden="false" customHeight="true" outlineLevel="0" collapsed="false">
      <c r="A42" s="4" t="s">
        <v>66</v>
      </c>
      <c r="B42" s="4" t="s">
        <v>36</v>
      </c>
      <c r="C42" s="6" t="n">
        <v>56.959</v>
      </c>
      <c r="D42" s="4" t="s">
        <v>266</v>
      </c>
      <c r="E42" s="18" t="s">
        <v>282</v>
      </c>
    </row>
    <row r="43" customFormat="false" ht="15" hidden="false" customHeight="true" outlineLevel="0" collapsed="false">
      <c r="A43" s="4" t="s">
        <v>66</v>
      </c>
      <c r="B43" s="4" t="s">
        <v>36</v>
      </c>
      <c r="C43" s="6" t="n">
        <v>61.32</v>
      </c>
      <c r="D43" s="4" t="s">
        <v>266</v>
      </c>
      <c r="E43" s="18" t="s">
        <v>283</v>
      </c>
    </row>
    <row r="44" customFormat="false" ht="15" hidden="false" customHeight="true" outlineLevel="0" collapsed="false">
      <c r="A44" s="4" t="s">
        <v>75</v>
      </c>
      <c r="B44" s="4" t="s">
        <v>36</v>
      </c>
      <c r="C44" s="6" t="n">
        <v>4.371</v>
      </c>
      <c r="D44" s="17" t="s">
        <v>265</v>
      </c>
      <c r="E44" s="18" t="s">
        <v>69</v>
      </c>
    </row>
    <row r="45" customFormat="false" ht="15" hidden="false" customHeight="true" outlineLevel="0" collapsed="false">
      <c r="A45" s="4" t="s">
        <v>75</v>
      </c>
      <c r="B45" s="4" t="s">
        <v>36</v>
      </c>
      <c r="C45" s="6" t="n">
        <v>4.377</v>
      </c>
      <c r="D45" s="4" t="s">
        <v>270</v>
      </c>
      <c r="E45" s="18" t="s">
        <v>284</v>
      </c>
    </row>
    <row r="46" customFormat="false" ht="15" hidden="false" customHeight="true" outlineLevel="0" collapsed="false">
      <c r="A46" s="4" t="s">
        <v>75</v>
      </c>
      <c r="B46" s="4" t="s">
        <v>36</v>
      </c>
      <c r="C46" s="6" t="n">
        <v>4.429</v>
      </c>
      <c r="D46" s="4" t="s">
        <v>266</v>
      </c>
      <c r="E46" s="18" t="s">
        <v>285</v>
      </c>
    </row>
    <row r="47" customFormat="false" ht="15" hidden="false" customHeight="true" outlineLevel="0" collapsed="false">
      <c r="A47" s="4" t="s">
        <v>75</v>
      </c>
      <c r="B47" s="4" t="s">
        <v>36</v>
      </c>
      <c r="C47" s="6" t="n">
        <v>13.509</v>
      </c>
      <c r="D47" s="4" t="s">
        <v>266</v>
      </c>
      <c r="E47" s="18" t="s">
        <v>289</v>
      </c>
    </row>
    <row r="48" customFormat="false" ht="15" hidden="false" customHeight="true" outlineLevel="0" collapsed="false">
      <c r="A48" s="4" t="s">
        <v>75</v>
      </c>
      <c r="B48" s="4" t="s">
        <v>36</v>
      </c>
      <c r="C48" s="6" t="n">
        <v>19.09</v>
      </c>
      <c r="D48" s="4" t="s">
        <v>266</v>
      </c>
      <c r="E48" s="18" t="s">
        <v>290</v>
      </c>
    </row>
    <row r="49" customFormat="false" ht="15" hidden="false" customHeight="true" outlineLevel="0" collapsed="false">
      <c r="A49" s="4" t="s">
        <v>75</v>
      </c>
      <c r="B49" s="4" t="s">
        <v>36</v>
      </c>
      <c r="C49" s="6" t="n">
        <v>26.437</v>
      </c>
      <c r="D49" s="17" t="s">
        <v>265</v>
      </c>
      <c r="E49" s="18" t="s">
        <v>86</v>
      </c>
    </row>
    <row r="50" customFormat="false" ht="15" hidden="false" customHeight="true" outlineLevel="0" collapsed="false">
      <c r="A50" s="4" t="s">
        <v>75</v>
      </c>
      <c r="B50" s="4" t="s">
        <v>36</v>
      </c>
      <c r="C50" s="6" t="n">
        <v>26.441</v>
      </c>
      <c r="D50" s="4" t="s">
        <v>270</v>
      </c>
      <c r="E50" s="18" t="s">
        <v>57</v>
      </c>
    </row>
    <row r="51" customFormat="false" ht="15" hidden="false" customHeight="true" outlineLevel="0" collapsed="false">
      <c r="A51" s="4" t="s">
        <v>75</v>
      </c>
      <c r="B51" s="4" t="s">
        <v>36</v>
      </c>
      <c r="C51" s="6" t="n">
        <v>26.464</v>
      </c>
      <c r="D51" s="4" t="s">
        <v>266</v>
      </c>
      <c r="E51" s="18" t="s">
        <v>274</v>
      </c>
    </row>
    <row r="52" customFormat="false" ht="15" hidden="false" customHeight="true" outlineLevel="0" collapsed="false">
      <c r="A52" s="4" t="s">
        <v>75</v>
      </c>
      <c r="B52" s="4" t="s">
        <v>36</v>
      </c>
      <c r="C52" s="6" t="n">
        <v>31.944</v>
      </c>
      <c r="D52" s="4" t="s">
        <v>266</v>
      </c>
      <c r="E52" s="18" t="s">
        <v>295</v>
      </c>
    </row>
    <row r="53" customFormat="false" ht="15" hidden="false" customHeight="true" outlineLevel="0" collapsed="false">
      <c r="A53" s="4" t="s">
        <v>75</v>
      </c>
      <c r="B53" s="4" t="s">
        <v>36</v>
      </c>
      <c r="C53" s="6" t="n">
        <v>40.259</v>
      </c>
      <c r="D53" s="17" t="s">
        <v>265</v>
      </c>
      <c r="E53" s="18" t="s">
        <v>296</v>
      </c>
    </row>
    <row r="54" customFormat="false" ht="15" hidden="false" customHeight="true" outlineLevel="0" collapsed="false">
      <c r="A54" s="4" t="s">
        <v>75</v>
      </c>
      <c r="B54" s="4" t="s">
        <v>36</v>
      </c>
      <c r="C54" s="6" t="n">
        <v>40.263</v>
      </c>
      <c r="D54" s="4" t="s">
        <v>270</v>
      </c>
      <c r="E54" s="18" t="s">
        <v>277</v>
      </c>
    </row>
    <row r="55" customFormat="false" ht="15" hidden="false" customHeight="true" outlineLevel="0" collapsed="false">
      <c r="A55" s="4" t="s">
        <v>75</v>
      </c>
      <c r="B55" s="4" t="s">
        <v>36</v>
      </c>
      <c r="C55" s="6" t="n">
        <v>40.307</v>
      </c>
      <c r="D55" s="4" t="s">
        <v>266</v>
      </c>
      <c r="E55" s="18" t="s">
        <v>278</v>
      </c>
    </row>
    <row r="56" customFormat="false" ht="15" hidden="false" customHeight="true" outlineLevel="0" collapsed="false">
      <c r="A56" s="4" t="s">
        <v>75</v>
      </c>
      <c r="B56" s="4" t="s">
        <v>36</v>
      </c>
      <c r="C56" s="6" t="n">
        <v>44.057</v>
      </c>
      <c r="D56" s="4" t="s">
        <v>266</v>
      </c>
      <c r="E56" s="18" t="s">
        <v>279</v>
      </c>
    </row>
    <row r="57" customFormat="false" ht="15" hidden="false" customHeight="true" outlineLevel="0" collapsed="false">
      <c r="A57" s="4" t="s">
        <v>75</v>
      </c>
      <c r="B57" s="4" t="s">
        <v>36</v>
      </c>
      <c r="C57" s="6" t="n">
        <v>48.239</v>
      </c>
      <c r="D57" s="17" t="s">
        <v>265</v>
      </c>
      <c r="E57" s="18" t="s">
        <v>297</v>
      </c>
    </row>
    <row r="58" customFormat="false" ht="15" hidden="false" customHeight="true" outlineLevel="0" collapsed="false">
      <c r="A58" s="4" t="s">
        <v>75</v>
      </c>
      <c r="B58" s="4" t="s">
        <v>36</v>
      </c>
      <c r="C58" s="6" t="n">
        <v>48.244</v>
      </c>
      <c r="D58" s="4" t="s">
        <v>270</v>
      </c>
      <c r="E58" s="18" t="s">
        <v>281</v>
      </c>
    </row>
    <row r="59" customFormat="false" ht="15" hidden="false" customHeight="true" outlineLevel="0" collapsed="false">
      <c r="A59" s="4" t="s">
        <v>75</v>
      </c>
      <c r="B59" s="4" t="s">
        <v>36</v>
      </c>
      <c r="C59" s="6" t="n">
        <v>48.257</v>
      </c>
      <c r="D59" s="4" t="s">
        <v>266</v>
      </c>
      <c r="E59" s="18" t="s">
        <v>282</v>
      </c>
    </row>
    <row r="60" customFormat="false" ht="15" hidden="false" customHeight="true" outlineLevel="0" collapsed="false">
      <c r="A60" s="4" t="s">
        <v>75</v>
      </c>
      <c r="B60" s="4" t="s">
        <v>36</v>
      </c>
      <c r="C60" s="6" t="n">
        <v>53.827</v>
      </c>
      <c r="D60" s="4" t="s">
        <v>266</v>
      </c>
      <c r="E60" s="18" t="s">
        <v>283</v>
      </c>
    </row>
    <row r="61" customFormat="false" ht="15" hidden="false" customHeight="true" outlineLevel="0" collapsed="false">
      <c r="A61" s="4" t="s">
        <v>82</v>
      </c>
      <c r="B61" s="4" t="s">
        <v>36</v>
      </c>
      <c r="C61" s="6" t="n">
        <v>5.661</v>
      </c>
      <c r="D61" s="4" t="s">
        <v>266</v>
      </c>
      <c r="E61" s="18" t="s">
        <v>272</v>
      </c>
    </row>
    <row r="62" customFormat="false" ht="15" hidden="false" customHeight="true" outlineLevel="0" collapsed="false">
      <c r="A62" s="4" t="s">
        <v>82</v>
      </c>
      <c r="B62" s="4" t="s">
        <v>36</v>
      </c>
      <c r="C62" s="6" t="n">
        <v>10.522</v>
      </c>
      <c r="D62" s="4" t="s">
        <v>266</v>
      </c>
      <c r="E62" s="18" t="s">
        <v>273</v>
      </c>
    </row>
    <row r="63" customFormat="false" ht="15" hidden="false" customHeight="true" outlineLevel="0" collapsed="false">
      <c r="A63" s="4" t="s">
        <v>82</v>
      </c>
      <c r="B63" s="4" t="s">
        <v>36</v>
      </c>
      <c r="C63" s="6" t="n">
        <v>27.676</v>
      </c>
      <c r="D63" s="17" t="s">
        <v>265</v>
      </c>
      <c r="E63" s="18" t="s">
        <v>86</v>
      </c>
    </row>
    <row r="64" customFormat="false" ht="15" hidden="false" customHeight="true" outlineLevel="0" collapsed="false">
      <c r="A64" s="4" t="s">
        <v>82</v>
      </c>
      <c r="B64" s="4" t="s">
        <v>36</v>
      </c>
      <c r="C64" s="6" t="n">
        <v>27.68</v>
      </c>
      <c r="D64" s="4" t="s">
        <v>270</v>
      </c>
      <c r="E64" s="18" t="s">
        <v>57</v>
      </c>
    </row>
    <row r="65" customFormat="false" ht="15" hidden="false" customHeight="true" outlineLevel="0" collapsed="false">
      <c r="A65" s="4" t="s">
        <v>82</v>
      </c>
      <c r="B65" s="4" t="s">
        <v>36</v>
      </c>
      <c r="C65" s="6" t="n">
        <v>27.725</v>
      </c>
      <c r="D65" s="4" t="s">
        <v>266</v>
      </c>
      <c r="E65" s="18" t="s">
        <v>274</v>
      </c>
    </row>
    <row r="66" customFormat="false" ht="15" hidden="false" customHeight="true" outlineLevel="0" collapsed="false">
      <c r="A66" s="4" t="s">
        <v>82</v>
      </c>
      <c r="B66" s="4" t="s">
        <v>36</v>
      </c>
      <c r="C66" s="6" t="n">
        <v>32.733</v>
      </c>
      <c r="D66" s="4" t="s">
        <v>266</v>
      </c>
      <c r="E66" s="18" t="s">
        <v>275</v>
      </c>
    </row>
    <row r="67" customFormat="false" ht="15" hidden="false" customHeight="true" outlineLevel="0" collapsed="false">
      <c r="A67" s="4" t="s">
        <v>82</v>
      </c>
      <c r="B67" s="4" t="s">
        <v>36</v>
      </c>
      <c r="C67" s="6" t="n">
        <v>42.64</v>
      </c>
      <c r="D67" s="17" t="s">
        <v>265</v>
      </c>
      <c r="E67" s="18" t="s">
        <v>298</v>
      </c>
    </row>
    <row r="68" customFormat="false" ht="15" hidden="false" customHeight="true" outlineLevel="0" collapsed="false">
      <c r="A68" s="4" t="s">
        <v>82</v>
      </c>
      <c r="B68" s="4" t="s">
        <v>36</v>
      </c>
      <c r="C68" s="6" t="n">
        <v>43.912</v>
      </c>
      <c r="D68" s="4" t="s">
        <v>270</v>
      </c>
      <c r="E68" s="18" t="s">
        <v>299</v>
      </c>
    </row>
    <row r="69" customFormat="false" ht="15" hidden="false" customHeight="true" outlineLevel="0" collapsed="false">
      <c r="A69" s="4" t="s">
        <v>82</v>
      </c>
      <c r="B69" s="4" t="s">
        <v>36</v>
      </c>
      <c r="C69" s="6" t="n">
        <v>43.958</v>
      </c>
      <c r="D69" s="4" t="s">
        <v>266</v>
      </c>
      <c r="E69" s="18" t="s">
        <v>278</v>
      </c>
    </row>
    <row r="70" customFormat="false" ht="15" hidden="false" customHeight="true" outlineLevel="0" collapsed="false">
      <c r="A70" s="4" t="s">
        <v>82</v>
      </c>
      <c r="B70" s="4" t="s">
        <v>36</v>
      </c>
      <c r="C70" s="6" t="n">
        <v>52.124</v>
      </c>
      <c r="D70" s="4" t="s">
        <v>266</v>
      </c>
      <c r="E70" s="18" t="s">
        <v>283</v>
      </c>
    </row>
    <row r="71" customFormat="false" ht="15" hidden="false" customHeight="true" outlineLevel="0" collapsed="false">
      <c r="A71" s="4" t="s">
        <v>90</v>
      </c>
      <c r="B71" s="4" t="s">
        <v>36</v>
      </c>
      <c r="C71" s="6" t="n">
        <v>8.278</v>
      </c>
      <c r="D71" s="17" t="s">
        <v>265</v>
      </c>
      <c r="E71" s="18" t="s">
        <v>91</v>
      </c>
    </row>
    <row r="72" customFormat="false" ht="15" hidden="false" customHeight="true" outlineLevel="0" collapsed="false">
      <c r="A72" s="4" t="s">
        <v>90</v>
      </c>
      <c r="B72" s="4" t="s">
        <v>36</v>
      </c>
      <c r="C72" s="6" t="n">
        <v>9.143</v>
      </c>
      <c r="D72" s="4" t="s">
        <v>266</v>
      </c>
      <c r="E72" s="18" t="s">
        <v>300</v>
      </c>
    </row>
    <row r="73" customFormat="false" ht="15" hidden="false" customHeight="true" outlineLevel="0" collapsed="false">
      <c r="A73" s="4" t="s">
        <v>93</v>
      </c>
      <c r="B73" s="4" t="s">
        <v>36</v>
      </c>
      <c r="C73" s="6" t="n">
        <v>5.201</v>
      </c>
      <c r="D73" s="17" t="s">
        <v>265</v>
      </c>
      <c r="E73" s="18" t="s">
        <v>94</v>
      </c>
    </row>
    <row r="74" customFormat="false" ht="15" hidden="false" customHeight="true" outlineLevel="0" collapsed="false">
      <c r="A74" s="4" t="s">
        <v>93</v>
      </c>
      <c r="B74" s="4" t="s">
        <v>36</v>
      </c>
      <c r="C74" s="6" t="n">
        <v>6.511</v>
      </c>
      <c r="D74" s="4" t="s">
        <v>266</v>
      </c>
      <c r="E74" s="18" t="s">
        <v>301</v>
      </c>
    </row>
    <row r="75" customFormat="false" ht="15" hidden="false" customHeight="true" outlineLevel="0" collapsed="false">
      <c r="A75" s="4" t="s">
        <v>93</v>
      </c>
      <c r="B75" s="4" t="s">
        <v>36</v>
      </c>
      <c r="C75" s="6" t="n">
        <v>12.929</v>
      </c>
      <c r="D75" s="4" t="s">
        <v>266</v>
      </c>
      <c r="E75" s="18" t="s">
        <v>302</v>
      </c>
    </row>
    <row r="76" customFormat="false" ht="15" hidden="false" customHeight="true" outlineLevel="0" collapsed="false">
      <c r="A76" s="4" t="s">
        <v>260</v>
      </c>
      <c r="B76" s="4" t="s">
        <v>36</v>
      </c>
      <c r="C76" s="6" t="n">
        <v>7.417</v>
      </c>
      <c r="D76" s="17" t="s">
        <v>265</v>
      </c>
      <c r="E76" s="18" t="s">
        <v>98</v>
      </c>
    </row>
    <row r="77" customFormat="false" ht="15" hidden="false" customHeight="true" outlineLevel="0" collapsed="false">
      <c r="A77" s="4" t="s">
        <v>260</v>
      </c>
      <c r="B77" s="4" t="s">
        <v>36</v>
      </c>
      <c r="C77" s="6" t="n">
        <v>8.653</v>
      </c>
      <c r="D77" s="4" t="s">
        <v>270</v>
      </c>
      <c r="E77" s="18" t="s">
        <v>303</v>
      </c>
    </row>
    <row r="78" customFormat="false" ht="15" hidden="false" customHeight="true" outlineLevel="0" collapsed="false">
      <c r="A78" s="4" t="s">
        <v>260</v>
      </c>
      <c r="B78" s="4" t="s">
        <v>36</v>
      </c>
      <c r="C78" s="6" t="n">
        <v>13.716</v>
      </c>
      <c r="D78" s="4" t="s">
        <v>266</v>
      </c>
      <c r="E78" s="18" t="s">
        <v>304</v>
      </c>
    </row>
    <row r="79" customFormat="false" ht="15" hidden="false" customHeight="true" outlineLevel="0" collapsed="false">
      <c r="A79" s="4" t="s">
        <v>260</v>
      </c>
      <c r="B79" s="4" t="s">
        <v>36</v>
      </c>
      <c r="C79" s="6" t="n">
        <v>20.358</v>
      </c>
      <c r="D79" s="4" t="s">
        <v>266</v>
      </c>
      <c r="E79" s="18" t="s">
        <v>305</v>
      </c>
    </row>
    <row r="80" customFormat="false" ht="15" hidden="false" customHeight="true" outlineLevel="0" collapsed="false">
      <c r="A80" s="4" t="s">
        <v>260</v>
      </c>
      <c r="B80" s="4" t="s">
        <v>36</v>
      </c>
      <c r="C80" s="6" t="n">
        <v>33.108</v>
      </c>
      <c r="D80" s="17" t="s">
        <v>265</v>
      </c>
      <c r="E80" s="18" t="s">
        <v>306</v>
      </c>
    </row>
    <row r="81" customFormat="false" ht="15" hidden="false" customHeight="true" outlineLevel="0" collapsed="false">
      <c r="A81" s="4" t="s">
        <v>260</v>
      </c>
      <c r="B81" s="4" t="s">
        <v>36</v>
      </c>
      <c r="C81" s="6" t="n">
        <v>33.114</v>
      </c>
      <c r="D81" s="4" t="s">
        <v>270</v>
      </c>
      <c r="E81" s="18" t="s">
        <v>281</v>
      </c>
    </row>
    <row r="82" customFormat="false" ht="15" hidden="false" customHeight="true" outlineLevel="0" collapsed="false">
      <c r="A82" s="4" t="s">
        <v>260</v>
      </c>
      <c r="B82" s="4" t="s">
        <v>36</v>
      </c>
      <c r="C82" s="6" t="n">
        <v>33.156</v>
      </c>
      <c r="D82" s="4" t="s">
        <v>266</v>
      </c>
      <c r="E82" s="18" t="s">
        <v>282</v>
      </c>
    </row>
    <row r="83" customFormat="false" ht="15" hidden="false" customHeight="true" outlineLevel="0" collapsed="false">
      <c r="A83" s="4" t="s">
        <v>260</v>
      </c>
      <c r="B83" s="4" t="s">
        <v>36</v>
      </c>
      <c r="C83" s="6" t="n">
        <v>34.585</v>
      </c>
      <c r="D83" s="17" t="s">
        <v>265</v>
      </c>
      <c r="E83" s="18" t="s">
        <v>307</v>
      </c>
    </row>
    <row r="84" customFormat="false" ht="15" hidden="false" customHeight="true" outlineLevel="0" collapsed="false">
      <c r="A84" s="4" t="s">
        <v>260</v>
      </c>
      <c r="B84" s="4" t="s">
        <v>36</v>
      </c>
      <c r="C84" s="6" t="n">
        <v>34.593</v>
      </c>
      <c r="D84" s="4" t="s">
        <v>270</v>
      </c>
      <c r="E84" s="18" t="s">
        <v>281</v>
      </c>
    </row>
    <row r="85" customFormat="false" ht="15" hidden="false" customHeight="true" outlineLevel="0" collapsed="false">
      <c r="A85" s="4" t="s">
        <v>260</v>
      </c>
      <c r="B85" s="4" t="s">
        <v>36</v>
      </c>
      <c r="C85" s="6" t="n">
        <v>39.724</v>
      </c>
      <c r="D85" s="4" t="s">
        <v>266</v>
      </c>
      <c r="E85" s="18" t="s">
        <v>308</v>
      </c>
    </row>
    <row r="86" customFormat="false" ht="15" hidden="false" customHeight="true" outlineLevel="0" collapsed="false">
      <c r="A86" s="4" t="s">
        <v>260</v>
      </c>
      <c r="B86" s="4" t="s">
        <v>36</v>
      </c>
      <c r="C86" s="6" t="n">
        <v>48.787</v>
      </c>
      <c r="D86" s="17" t="s">
        <v>265</v>
      </c>
      <c r="E86" s="18" t="s">
        <v>309</v>
      </c>
    </row>
    <row r="87" customFormat="false" ht="15" hidden="false" customHeight="true" outlineLevel="0" collapsed="false">
      <c r="A87" s="4" t="s">
        <v>260</v>
      </c>
      <c r="B87" s="4" t="s">
        <v>36</v>
      </c>
      <c r="C87" s="6" t="n">
        <v>48.792</v>
      </c>
      <c r="D87" s="4" t="s">
        <v>270</v>
      </c>
      <c r="E87" s="18" t="s">
        <v>277</v>
      </c>
    </row>
    <row r="88" customFormat="false" ht="15" hidden="false" customHeight="true" outlineLevel="0" collapsed="false">
      <c r="A88" s="4" t="s">
        <v>260</v>
      </c>
      <c r="B88" s="4" t="s">
        <v>36</v>
      </c>
      <c r="C88" s="6" t="n">
        <v>48.842</v>
      </c>
      <c r="D88" s="4" t="s">
        <v>266</v>
      </c>
      <c r="E88" s="18" t="s">
        <v>278</v>
      </c>
    </row>
    <row r="89" customFormat="false" ht="15" hidden="false" customHeight="true" outlineLevel="0" collapsed="false">
      <c r="A89" s="4" t="s">
        <v>260</v>
      </c>
      <c r="B89" s="4" t="s">
        <v>36</v>
      </c>
      <c r="C89" s="6" t="n">
        <v>52.916</v>
      </c>
      <c r="D89" s="4" t="s">
        <v>266</v>
      </c>
      <c r="E89" s="18" t="s">
        <v>310</v>
      </c>
    </row>
    <row r="90" customFormat="false" ht="15" hidden="false" customHeight="true" outlineLevel="0" collapsed="false">
      <c r="A90" s="4" t="s">
        <v>97</v>
      </c>
      <c r="B90" s="4" t="s">
        <v>36</v>
      </c>
      <c r="C90" s="6" t="n">
        <v>6.882</v>
      </c>
      <c r="D90" s="17" t="s">
        <v>265</v>
      </c>
      <c r="E90" s="18" t="s">
        <v>98</v>
      </c>
    </row>
    <row r="91" customFormat="false" ht="15" hidden="false" customHeight="true" outlineLevel="0" collapsed="false">
      <c r="A91" s="4" t="s">
        <v>97</v>
      </c>
      <c r="B91" s="4" t="s">
        <v>36</v>
      </c>
      <c r="C91" s="6" t="n">
        <v>7.839</v>
      </c>
      <c r="D91" s="4" t="s">
        <v>270</v>
      </c>
      <c r="E91" s="18" t="s">
        <v>303</v>
      </c>
    </row>
    <row r="92" customFormat="false" ht="15" hidden="false" customHeight="true" outlineLevel="0" collapsed="false">
      <c r="A92" s="4" t="s">
        <v>97</v>
      </c>
      <c r="B92" s="4" t="s">
        <v>36</v>
      </c>
      <c r="C92" s="6" t="n">
        <v>9.801</v>
      </c>
      <c r="D92" s="4" t="s">
        <v>266</v>
      </c>
      <c r="E92" s="18" t="s">
        <v>304</v>
      </c>
    </row>
    <row r="93" customFormat="false" ht="15" hidden="false" customHeight="true" outlineLevel="0" collapsed="false">
      <c r="A93" s="4" t="s">
        <v>97</v>
      </c>
      <c r="B93" s="4" t="s">
        <v>36</v>
      </c>
      <c r="C93" s="6" t="n">
        <v>14.311</v>
      </c>
      <c r="D93" s="4" t="s">
        <v>266</v>
      </c>
      <c r="E93" s="18" t="s">
        <v>305</v>
      </c>
    </row>
    <row r="94" customFormat="false" ht="15" hidden="false" customHeight="true" outlineLevel="0" collapsed="false">
      <c r="A94" s="4" t="s">
        <v>97</v>
      </c>
      <c r="B94" s="4" t="s">
        <v>36</v>
      </c>
      <c r="C94" s="6" t="n">
        <v>22.438</v>
      </c>
      <c r="D94" s="17" t="s">
        <v>265</v>
      </c>
      <c r="E94" s="18" t="s">
        <v>291</v>
      </c>
    </row>
    <row r="95" customFormat="false" ht="15" hidden="false" customHeight="true" outlineLevel="0" collapsed="false">
      <c r="A95" s="4" t="s">
        <v>97</v>
      </c>
      <c r="B95" s="4" t="s">
        <v>36</v>
      </c>
      <c r="C95" s="6" t="n">
        <v>22.45</v>
      </c>
      <c r="D95" s="4" t="s">
        <v>270</v>
      </c>
      <c r="E95" s="18" t="s">
        <v>71</v>
      </c>
    </row>
    <row r="96" customFormat="false" ht="15" hidden="false" customHeight="true" outlineLevel="0" collapsed="false">
      <c r="A96" s="4" t="s">
        <v>97</v>
      </c>
      <c r="B96" s="4" t="s">
        <v>36</v>
      </c>
      <c r="C96" s="6" t="n">
        <v>22.512</v>
      </c>
      <c r="D96" s="4" t="s">
        <v>266</v>
      </c>
      <c r="E96" s="18" t="s">
        <v>292</v>
      </c>
    </row>
    <row r="97" customFormat="false" ht="15" hidden="false" customHeight="true" outlineLevel="0" collapsed="false">
      <c r="A97" s="4" t="s">
        <v>97</v>
      </c>
      <c r="B97" s="4" t="s">
        <v>36</v>
      </c>
      <c r="C97" s="6" t="n">
        <v>25.537</v>
      </c>
      <c r="D97" s="4" t="s">
        <v>266</v>
      </c>
      <c r="E97" s="18" t="s">
        <v>311</v>
      </c>
    </row>
    <row r="98" customFormat="false" ht="15" hidden="false" customHeight="true" outlineLevel="0" collapsed="false">
      <c r="A98" s="4" t="s">
        <v>97</v>
      </c>
      <c r="B98" s="4" t="s">
        <v>36</v>
      </c>
      <c r="C98" s="6" t="n">
        <v>34.477</v>
      </c>
      <c r="D98" s="17" t="s">
        <v>265</v>
      </c>
      <c r="E98" s="18" t="s">
        <v>296</v>
      </c>
    </row>
    <row r="99" customFormat="false" ht="15" hidden="false" customHeight="true" outlineLevel="0" collapsed="false">
      <c r="A99" s="4" t="s">
        <v>97</v>
      </c>
      <c r="B99" s="4" t="s">
        <v>36</v>
      </c>
      <c r="C99" s="6" t="n">
        <v>34.495</v>
      </c>
      <c r="D99" s="4" t="s">
        <v>270</v>
      </c>
      <c r="E99" s="18" t="s">
        <v>277</v>
      </c>
    </row>
    <row r="100" customFormat="false" ht="15" hidden="false" customHeight="true" outlineLevel="0" collapsed="false">
      <c r="A100" s="4" t="s">
        <v>97</v>
      </c>
      <c r="B100" s="4" t="s">
        <v>36</v>
      </c>
      <c r="C100" s="6" t="n">
        <v>34.533</v>
      </c>
      <c r="D100" s="4" t="s">
        <v>266</v>
      </c>
      <c r="E100" s="18" t="s">
        <v>278</v>
      </c>
    </row>
    <row r="101" customFormat="false" ht="15" hidden="false" customHeight="true" outlineLevel="0" collapsed="false">
      <c r="A101" s="4" t="s">
        <v>97</v>
      </c>
      <c r="B101" s="4" t="s">
        <v>36</v>
      </c>
      <c r="C101" s="6" t="n">
        <v>38.193</v>
      </c>
      <c r="D101" s="4" t="s">
        <v>266</v>
      </c>
      <c r="E101" s="18" t="s">
        <v>279</v>
      </c>
    </row>
    <row r="102" customFormat="false" ht="15" hidden="false" customHeight="true" outlineLevel="0" collapsed="false">
      <c r="A102" s="4" t="s">
        <v>97</v>
      </c>
      <c r="B102" s="4" t="s">
        <v>36</v>
      </c>
      <c r="C102" s="6" t="n">
        <v>41.777</v>
      </c>
      <c r="D102" s="17" t="s">
        <v>265</v>
      </c>
      <c r="E102" s="18" t="s">
        <v>297</v>
      </c>
    </row>
    <row r="103" customFormat="false" ht="15" hidden="false" customHeight="true" outlineLevel="0" collapsed="false">
      <c r="A103" s="4" t="s">
        <v>97</v>
      </c>
      <c r="B103" s="4" t="s">
        <v>36</v>
      </c>
      <c r="C103" s="6" t="n">
        <v>41.784</v>
      </c>
      <c r="D103" s="4" t="s">
        <v>270</v>
      </c>
      <c r="E103" s="18" t="s">
        <v>281</v>
      </c>
    </row>
    <row r="104" customFormat="false" ht="15" hidden="false" customHeight="true" outlineLevel="0" collapsed="false">
      <c r="A104" s="4" t="s">
        <v>97</v>
      </c>
      <c r="B104" s="4" t="s">
        <v>36</v>
      </c>
      <c r="C104" s="6" t="n">
        <v>41.794</v>
      </c>
      <c r="D104" s="4" t="s">
        <v>266</v>
      </c>
      <c r="E104" s="18" t="s">
        <v>282</v>
      </c>
    </row>
    <row r="105" customFormat="false" ht="15" hidden="false" customHeight="true" outlineLevel="0" collapsed="false">
      <c r="A105" s="4" t="s">
        <v>97</v>
      </c>
      <c r="B105" s="4" t="s">
        <v>36</v>
      </c>
      <c r="C105" s="6" t="n">
        <v>46.104</v>
      </c>
      <c r="D105" s="4" t="s">
        <v>266</v>
      </c>
      <c r="E105" s="18" t="s">
        <v>283</v>
      </c>
    </row>
    <row r="106" customFormat="false" ht="15" hidden="false" customHeight="true" outlineLevel="0" collapsed="false">
      <c r="A106" s="4" t="s">
        <v>104</v>
      </c>
      <c r="B106" s="4" t="s">
        <v>36</v>
      </c>
      <c r="C106" s="6" t="n">
        <v>6.226</v>
      </c>
      <c r="D106" s="17" t="s">
        <v>265</v>
      </c>
      <c r="E106" s="18" t="s">
        <v>105</v>
      </c>
    </row>
    <row r="107" customFormat="false" ht="15" hidden="false" customHeight="true" outlineLevel="0" collapsed="false">
      <c r="A107" s="4" t="s">
        <v>104</v>
      </c>
      <c r="B107" s="4" t="s">
        <v>36</v>
      </c>
      <c r="C107" s="6" t="n">
        <v>7.351</v>
      </c>
      <c r="D107" s="4" t="s">
        <v>270</v>
      </c>
      <c r="E107" s="18" t="s">
        <v>284</v>
      </c>
    </row>
    <row r="108" customFormat="false" ht="15" hidden="false" customHeight="true" outlineLevel="0" collapsed="false">
      <c r="A108" s="4" t="s">
        <v>104</v>
      </c>
      <c r="B108" s="4" t="s">
        <v>36</v>
      </c>
      <c r="C108" s="6" t="n">
        <v>7.368</v>
      </c>
      <c r="D108" s="4" t="s">
        <v>266</v>
      </c>
      <c r="E108" s="18" t="s">
        <v>285</v>
      </c>
    </row>
    <row r="109" customFormat="false" ht="15" hidden="false" customHeight="true" outlineLevel="0" collapsed="false">
      <c r="A109" s="4" t="s">
        <v>104</v>
      </c>
      <c r="B109" s="4" t="s">
        <v>36</v>
      </c>
      <c r="C109" s="6" t="n">
        <v>15.567</v>
      </c>
      <c r="D109" s="4" t="s">
        <v>266</v>
      </c>
      <c r="E109" s="18" t="s">
        <v>289</v>
      </c>
    </row>
    <row r="110" customFormat="false" ht="15" hidden="false" customHeight="true" outlineLevel="0" collapsed="false">
      <c r="A110" s="4" t="s">
        <v>104</v>
      </c>
      <c r="B110" s="4" t="s">
        <v>36</v>
      </c>
      <c r="C110" s="6" t="n">
        <v>20.974</v>
      </c>
      <c r="D110" s="4" t="s">
        <v>266</v>
      </c>
      <c r="E110" s="18" t="s">
        <v>290</v>
      </c>
    </row>
    <row r="111" customFormat="false" ht="15" hidden="false" customHeight="true" outlineLevel="0" collapsed="false">
      <c r="A111" s="4" t="s">
        <v>104</v>
      </c>
      <c r="B111" s="4" t="s">
        <v>36</v>
      </c>
      <c r="C111" s="6" t="n">
        <v>28.849</v>
      </c>
      <c r="D111" s="17" t="s">
        <v>265</v>
      </c>
      <c r="E111" s="18" t="s">
        <v>86</v>
      </c>
    </row>
    <row r="112" customFormat="false" ht="15" hidden="false" customHeight="true" outlineLevel="0" collapsed="false">
      <c r="A112" s="4" t="s">
        <v>104</v>
      </c>
      <c r="B112" s="4" t="s">
        <v>36</v>
      </c>
      <c r="C112" s="6" t="n">
        <v>28.863</v>
      </c>
      <c r="D112" s="4" t="s">
        <v>270</v>
      </c>
      <c r="E112" s="18" t="s">
        <v>57</v>
      </c>
    </row>
    <row r="113" customFormat="false" ht="15" hidden="false" customHeight="true" outlineLevel="0" collapsed="false">
      <c r="A113" s="4" t="s">
        <v>104</v>
      </c>
      <c r="B113" s="4" t="s">
        <v>36</v>
      </c>
      <c r="C113" s="6" t="n">
        <v>28.926</v>
      </c>
      <c r="D113" s="4" t="s">
        <v>266</v>
      </c>
      <c r="E113" s="18" t="s">
        <v>274</v>
      </c>
    </row>
    <row r="114" customFormat="false" ht="15" hidden="false" customHeight="true" outlineLevel="0" collapsed="false">
      <c r="A114" s="4" t="s">
        <v>104</v>
      </c>
      <c r="B114" s="4" t="s">
        <v>36</v>
      </c>
      <c r="C114" s="6" t="n">
        <v>33.764</v>
      </c>
      <c r="D114" s="4" t="s">
        <v>266</v>
      </c>
      <c r="E114" s="18" t="s">
        <v>295</v>
      </c>
    </row>
    <row r="115" customFormat="false" ht="15" hidden="false" customHeight="true" outlineLevel="0" collapsed="false">
      <c r="A115" s="4" t="s">
        <v>104</v>
      </c>
      <c r="B115" s="4" t="s">
        <v>36</v>
      </c>
      <c r="C115" s="6" t="n">
        <v>42.499</v>
      </c>
      <c r="D115" s="17" t="s">
        <v>265</v>
      </c>
      <c r="E115" s="18" t="s">
        <v>312</v>
      </c>
    </row>
    <row r="116" customFormat="false" ht="15" hidden="false" customHeight="true" outlineLevel="0" collapsed="false">
      <c r="A116" s="4" t="s">
        <v>104</v>
      </c>
      <c r="B116" s="4" t="s">
        <v>36</v>
      </c>
      <c r="C116" s="6" t="n">
        <v>42.546</v>
      </c>
      <c r="D116" s="4" t="s">
        <v>270</v>
      </c>
      <c r="E116" s="18" t="s">
        <v>313</v>
      </c>
    </row>
    <row r="117" customFormat="false" ht="15" hidden="false" customHeight="true" outlineLevel="0" collapsed="false">
      <c r="A117" s="4" t="s">
        <v>104</v>
      </c>
      <c r="B117" s="4" t="s">
        <v>36</v>
      </c>
      <c r="C117" s="6" t="n">
        <v>42.576</v>
      </c>
      <c r="D117" s="4" t="s">
        <v>266</v>
      </c>
      <c r="E117" s="18" t="s">
        <v>278</v>
      </c>
    </row>
    <row r="118" customFormat="false" ht="15" hidden="false" customHeight="true" outlineLevel="0" collapsed="false">
      <c r="A118" s="4" t="s">
        <v>104</v>
      </c>
      <c r="B118" s="4" t="s">
        <v>36</v>
      </c>
      <c r="C118" s="6" t="n">
        <v>50.632</v>
      </c>
      <c r="D118" s="4" t="s">
        <v>266</v>
      </c>
      <c r="E118" s="18" t="s">
        <v>283</v>
      </c>
    </row>
    <row r="119" customFormat="false" ht="15" hidden="false" customHeight="true" outlineLevel="0" collapsed="false">
      <c r="A119" s="4" t="s">
        <v>109</v>
      </c>
      <c r="B119" s="4" t="s">
        <v>36</v>
      </c>
      <c r="C119" s="6" t="n">
        <v>5.086</v>
      </c>
      <c r="D119" s="17" t="s">
        <v>265</v>
      </c>
      <c r="E119" s="18" t="s">
        <v>69</v>
      </c>
    </row>
    <row r="120" customFormat="false" ht="15" hidden="false" customHeight="true" outlineLevel="0" collapsed="false">
      <c r="A120" s="4" t="s">
        <v>109</v>
      </c>
      <c r="B120" s="4" t="s">
        <v>36</v>
      </c>
      <c r="C120" s="6" t="n">
        <v>5.089</v>
      </c>
      <c r="D120" s="4" t="s">
        <v>270</v>
      </c>
      <c r="E120" s="18" t="s">
        <v>284</v>
      </c>
    </row>
    <row r="121" customFormat="false" ht="15" hidden="false" customHeight="true" outlineLevel="0" collapsed="false">
      <c r="A121" s="4" t="s">
        <v>109</v>
      </c>
      <c r="B121" s="4" t="s">
        <v>36</v>
      </c>
      <c r="C121" s="6" t="n">
        <v>5.124</v>
      </c>
      <c r="D121" s="4" t="s">
        <v>266</v>
      </c>
      <c r="E121" s="18" t="s">
        <v>285</v>
      </c>
    </row>
    <row r="122" customFormat="false" ht="15" hidden="false" customHeight="true" outlineLevel="0" collapsed="false">
      <c r="A122" s="4" t="s">
        <v>109</v>
      </c>
      <c r="B122" s="4" t="s">
        <v>36</v>
      </c>
      <c r="C122" s="6" t="n">
        <v>13.958</v>
      </c>
      <c r="D122" s="17" t="s">
        <v>265</v>
      </c>
      <c r="E122" s="18" t="s">
        <v>314</v>
      </c>
    </row>
    <row r="123" customFormat="false" ht="15" hidden="false" customHeight="true" outlineLevel="0" collapsed="false">
      <c r="A123" s="4" t="s">
        <v>109</v>
      </c>
      <c r="B123" s="4" t="s">
        <v>36</v>
      </c>
      <c r="C123" s="6" t="n">
        <v>15.219</v>
      </c>
      <c r="D123" s="4" t="s">
        <v>270</v>
      </c>
      <c r="E123" s="18" t="s">
        <v>315</v>
      </c>
    </row>
    <row r="124" customFormat="false" ht="15" hidden="false" customHeight="true" outlineLevel="0" collapsed="false">
      <c r="A124" s="4" t="s">
        <v>109</v>
      </c>
      <c r="B124" s="4" t="s">
        <v>36</v>
      </c>
      <c r="C124" s="6" t="n">
        <v>15.263</v>
      </c>
      <c r="D124" s="4" t="s">
        <v>266</v>
      </c>
      <c r="E124" s="18" t="s">
        <v>316</v>
      </c>
    </row>
    <row r="125" customFormat="false" ht="15" hidden="false" customHeight="true" outlineLevel="0" collapsed="false">
      <c r="A125" s="4" t="s">
        <v>109</v>
      </c>
      <c r="B125" s="4" t="s">
        <v>36</v>
      </c>
      <c r="C125" s="6" t="n">
        <v>18.367</v>
      </c>
      <c r="D125" s="4" t="s">
        <v>266</v>
      </c>
      <c r="E125" s="18" t="s">
        <v>289</v>
      </c>
    </row>
    <row r="126" customFormat="false" ht="15" hidden="false" customHeight="true" outlineLevel="0" collapsed="false">
      <c r="A126" s="4" t="s">
        <v>109</v>
      </c>
      <c r="B126" s="4" t="s">
        <v>36</v>
      </c>
      <c r="C126" s="6" t="n">
        <v>21.374</v>
      </c>
      <c r="D126" s="4" t="s">
        <v>266</v>
      </c>
      <c r="E126" s="18" t="s">
        <v>290</v>
      </c>
    </row>
    <row r="127" customFormat="false" ht="15" hidden="false" customHeight="true" outlineLevel="0" collapsed="false">
      <c r="A127" s="4" t="s">
        <v>109</v>
      </c>
      <c r="B127" s="4" t="s">
        <v>36</v>
      </c>
      <c r="C127" s="6" t="n">
        <v>27.357</v>
      </c>
      <c r="D127" s="17" t="s">
        <v>265</v>
      </c>
      <c r="E127" s="18" t="s">
        <v>306</v>
      </c>
    </row>
    <row r="128" customFormat="false" ht="15" hidden="false" customHeight="true" outlineLevel="0" collapsed="false">
      <c r="A128" s="4" t="s">
        <v>109</v>
      </c>
      <c r="B128" s="4" t="s">
        <v>36</v>
      </c>
      <c r="C128" s="6" t="n">
        <v>27.362</v>
      </c>
      <c r="D128" s="4" t="s">
        <v>270</v>
      </c>
      <c r="E128" s="18" t="s">
        <v>281</v>
      </c>
    </row>
    <row r="129" customFormat="false" ht="15" hidden="false" customHeight="true" outlineLevel="0" collapsed="false">
      <c r="A129" s="4" t="s">
        <v>109</v>
      </c>
      <c r="B129" s="4" t="s">
        <v>36</v>
      </c>
      <c r="C129" s="6" t="n">
        <v>27.416</v>
      </c>
      <c r="D129" s="4" t="s">
        <v>266</v>
      </c>
      <c r="E129" s="18" t="s">
        <v>282</v>
      </c>
    </row>
    <row r="130" customFormat="false" ht="15" hidden="false" customHeight="true" outlineLevel="0" collapsed="false">
      <c r="A130" s="4" t="s">
        <v>109</v>
      </c>
      <c r="B130" s="4" t="s">
        <v>36</v>
      </c>
      <c r="C130" s="6" t="n">
        <v>33.509</v>
      </c>
      <c r="D130" s="4" t="s">
        <v>266</v>
      </c>
      <c r="E130" s="18" t="s">
        <v>317</v>
      </c>
    </row>
    <row r="131" customFormat="false" ht="15" hidden="false" customHeight="true" outlineLevel="0" collapsed="false">
      <c r="A131" s="4" t="s">
        <v>109</v>
      </c>
      <c r="B131" s="4" t="s">
        <v>36</v>
      </c>
      <c r="C131" s="6" t="n">
        <v>41.718</v>
      </c>
      <c r="D131" s="17" t="s">
        <v>265</v>
      </c>
      <c r="E131" s="18" t="s">
        <v>294</v>
      </c>
    </row>
    <row r="132" customFormat="false" ht="15" hidden="false" customHeight="true" outlineLevel="0" collapsed="false">
      <c r="A132" s="4" t="s">
        <v>109</v>
      </c>
      <c r="B132" s="4" t="s">
        <v>36</v>
      </c>
      <c r="C132" s="6" t="n">
        <v>41.731</v>
      </c>
      <c r="D132" s="4" t="s">
        <v>270</v>
      </c>
      <c r="E132" s="18" t="s">
        <v>277</v>
      </c>
    </row>
    <row r="133" customFormat="false" ht="15" hidden="false" customHeight="true" outlineLevel="0" collapsed="false">
      <c r="A133" s="4" t="s">
        <v>109</v>
      </c>
      <c r="B133" s="4" t="s">
        <v>36</v>
      </c>
      <c r="C133" s="6" t="n">
        <v>41.767</v>
      </c>
      <c r="D133" s="4" t="s">
        <v>266</v>
      </c>
      <c r="E133" s="18" t="s">
        <v>278</v>
      </c>
    </row>
    <row r="134" customFormat="false" ht="15" hidden="false" customHeight="true" outlineLevel="0" collapsed="false">
      <c r="A134" s="4" t="s">
        <v>109</v>
      </c>
      <c r="B134" s="4" t="s">
        <v>36</v>
      </c>
      <c r="C134" s="6" t="n">
        <v>45.716</v>
      </c>
      <c r="D134" s="4" t="s">
        <v>266</v>
      </c>
      <c r="E134" s="18" t="s">
        <v>310</v>
      </c>
    </row>
    <row r="135" customFormat="false" ht="15" hidden="false" customHeight="true" outlineLevel="0" collapsed="false">
      <c r="A135" s="4" t="s">
        <v>114</v>
      </c>
      <c r="B135" s="4" t="s">
        <v>36</v>
      </c>
      <c r="C135" s="6" t="n">
        <v>7.815</v>
      </c>
      <c r="D135" s="17" t="s">
        <v>265</v>
      </c>
      <c r="E135" s="18" t="s">
        <v>115</v>
      </c>
    </row>
    <row r="136" customFormat="false" ht="15" hidden="false" customHeight="true" outlineLevel="0" collapsed="false">
      <c r="A136" s="4" t="s">
        <v>114</v>
      </c>
      <c r="B136" s="4" t="s">
        <v>36</v>
      </c>
      <c r="C136" s="6" t="n">
        <v>7.822</v>
      </c>
      <c r="D136" s="4" t="s">
        <v>270</v>
      </c>
      <c r="E136" s="18" t="s">
        <v>303</v>
      </c>
    </row>
    <row r="137" customFormat="false" ht="15" hidden="false" customHeight="true" outlineLevel="0" collapsed="false">
      <c r="A137" s="4" t="s">
        <v>114</v>
      </c>
      <c r="B137" s="4" t="s">
        <v>36</v>
      </c>
      <c r="C137" s="6" t="n">
        <v>9.642</v>
      </c>
      <c r="D137" s="4" t="s">
        <v>266</v>
      </c>
      <c r="E137" s="18" t="s">
        <v>304</v>
      </c>
    </row>
    <row r="138" customFormat="false" ht="15" hidden="false" customHeight="true" outlineLevel="0" collapsed="false">
      <c r="A138" s="4" t="s">
        <v>114</v>
      </c>
      <c r="B138" s="4" t="s">
        <v>36</v>
      </c>
      <c r="C138" s="6" t="n">
        <v>14.345</v>
      </c>
      <c r="D138" s="4" t="s">
        <v>266</v>
      </c>
      <c r="E138" s="18" t="s">
        <v>305</v>
      </c>
    </row>
    <row r="139" customFormat="false" ht="15" hidden="false" customHeight="true" outlineLevel="0" collapsed="false">
      <c r="A139" s="4" t="s">
        <v>114</v>
      </c>
      <c r="B139" s="4" t="s">
        <v>36</v>
      </c>
      <c r="C139" s="6" t="n">
        <v>20.267</v>
      </c>
      <c r="D139" s="17" t="s">
        <v>265</v>
      </c>
      <c r="E139" s="18" t="s">
        <v>318</v>
      </c>
    </row>
    <row r="140" customFormat="false" ht="15" hidden="false" customHeight="true" outlineLevel="0" collapsed="false">
      <c r="A140" s="4" t="s">
        <v>114</v>
      </c>
      <c r="B140" s="4" t="s">
        <v>36</v>
      </c>
      <c r="C140" s="6" t="n">
        <v>20.272</v>
      </c>
      <c r="D140" s="4" t="s">
        <v>270</v>
      </c>
      <c r="E140" s="18" t="s">
        <v>57</v>
      </c>
    </row>
    <row r="141" customFormat="false" ht="15" hidden="false" customHeight="true" outlineLevel="0" collapsed="false">
      <c r="A141" s="4" t="s">
        <v>114</v>
      </c>
      <c r="B141" s="4" t="s">
        <v>36</v>
      </c>
      <c r="C141" s="6" t="n">
        <v>20.34</v>
      </c>
      <c r="D141" s="4" t="s">
        <v>266</v>
      </c>
      <c r="E141" s="18" t="s">
        <v>274</v>
      </c>
    </row>
    <row r="142" customFormat="false" ht="15" hidden="false" customHeight="true" outlineLevel="0" collapsed="false">
      <c r="A142" s="4" t="s">
        <v>114</v>
      </c>
      <c r="B142" s="4" t="s">
        <v>36</v>
      </c>
      <c r="C142" s="6" t="n">
        <v>25.545</v>
      </c>
      <c r="D142" s="4" t="s">
        <v>266</v>
      </c>
      <c r="E142" s="18" t="s">
        <v>319</v>
      </c>
    </row>
    <row r="143" customFormat="false" ht="15" hidden="false" customHeight="true" outlineLevel="0" collapsed="false">
      <c r="A143" s="4" t="s">
        <v>114</v>
      </c>
      <c r="B143" s="4" t="s">
        <v>36</v>
      </c>
      <c r="C143" s="6" t="n">
        <v>30.954</v>
      </c>
      <c r="D143" s="17" t="s">
        <v>265</v>
      </c>
      <c r="E143" s="18" t="s">
        <v>320</v>
      </c>
    </row>
    <row r="144" customFormat="false" ht="15" hidden="false" customHeight="true" outlineLevel="0" collapsed="false">
      <c r="A144" s="4" t="s">
        <v>114</v>
      </c>
      <c r="B144" s="4" t="s">
        <v>36</v>
      </c>
      <c r="C144" s="6" t="n">
        <v>31.009</v>
      </c>
      <c r="D144" s="4" t="s">
        <v>270</v>
      </c>
      <c r="E144" s="18" t="s">
        <v>277</v>
      </c>
    </row>
    <row r="145" customFormat="false" ht="15" hidden="false" customHeight="true" outlineLevel="0" collapsed="false">
      <c r="A145" s="4" t="s">
        <v>114</v>
      </c>
      <c r="B145" s="4" t="s">
        <v>36</v>
      </c>
      <c r="C145" s="6" t="n">
        <v>31.121</v>
      </c>
      <c r="D145" s="4" t="s">
        <v>266</v>
      </c>
      <c r="E145" s="18" t="s">
        <v>278</v>
      </c>
    </row>
    <row r="146" customFormat="false" ht="15" hidden="false" customHeight="true" outlineLevel="0" collapsed="false">
      <c r="A146" s="4" t="s">
        <v>114</v>
      </c>
      <c r="B146" s="4" t="s">
        <v>36</v>
      </c>
      <c r="C146" s="6" t="n">
        <v>32.379</v>
      </c>
      <c r="D146" s="17" t="s">
        <v>265</v>
      </c>
      <c r="E146" s="18" t="s">
        <v>321</v>
      </c>
    </row>
    <row r="147" customFormat="false" ht="15" hidden="false" customHeight="true" outlineLevel="0" collapsed="false">
      <c r="A147" s="4" t="s">
        <v>114</v>
      </c>
      <c r="B147" s="4" t="s">
        <v>36</v>
      </c>
      <c r="C147" s="6" t="n">
        <v>33.457</v>
      </c>
      <c r="D147" s="4" t="s">
        <v>266</v>
      </c>
      <c r="E147" s="18" t="s">
        <v>322</v>
      </c>
    </row>
    <row r="148" customFormat="false" ht="15" hidden="false" customHeight="true" outlineLevel="0" collapsed="false">
      <c r="A148" s="4" t="s">
        <v>114</v>
      </c>
      <c r="B148" s="4" t="s">
        <v>36</v>
      </c>
      <c r="C148" s="6" t="n">
        <v>38.2</v>
      </c>
      <c r="D148" s="4" t="s">
        <v>266</v>
      </c>
      <c r="E148" s="18" t="s">
        <v>279</v>
      </c>
    </row>
    <row r="149" customFormat="false" ht="15" hidden="false" customHeight="true" outlineLevel="0" collapsed="false">
      <c r="A149" s="4" t="s">
        <v>114</v>
      </c>
      <c r="B149" s="4" t="s">
        <v>36</v>
      </c>
      <c r="C149" s="6" t="n">
        <v>44.484</v>
      </c>
      <c r="D149" s="17" t="s">
        <v>265</v>
      </c>
      <c r="E149" s="18" t="s">
        <v>323</v>
      </c>
    </row>
    <row r="150" customFormat="false" ht="15" hidden="false" customHeight="true" outlineLevel="0" collapsed="false">
      <c r="A150" s="4" t="s">
        <v>114</v>
      </c>
      <c r="B150" s="4" t="s">
        <v>36</v>
      </c>
      <c r="C150" s="6" t="n">
        <v>44.525</v>
      </c>
      <c r="D150" s="4" t="s">
        <v>270</v>
      </c>
      <c r="E150" s="18" t="s">
        <v>281</v>
      </c>
    </row>
    <row r="151" customFormat="false" ht="15" hidden="false" customHeight="true" outlineLevel="0" collapsed="false">
      <c r="A151" s="4" t="s">
        <v>114</v>
      </c>
      <c r="B151" s="4" t="s">
        <v>36</v>
      </c>
      <c r="C151" s="6" t="n">
        <v>44.543</v>
      </c>
      <c r="D151" s="4" t="s">
        <v>266</v>
      </c>
      <c r="E151" s="18" t="s">
        <v>282</v>
      </c>
    </row>
    <row r="152" customFormat="false" ht="15" hidden="false" customHeight="true" outlineLevel="0" collapsed="false">
      <c r="A152" s="4" t="s">
        <v>114</v>
      </c>
      <c r="B152" s="4" t="s">
        <v>36</v>
      </c>
      <c r="C152" s="6" t="n">
        <v>50.111</v>
      </c>
      <c r="D152" s="4" t="s">
        <v>266</v>
      </c>
      <c r="E152" s="18" t="s">
        <v>283</v>
      </c>
    </row>
    <row r="153" customFormat="false" ht="15" hidden="false" customHeight="true" outlineLevel="0" collapsed="false">
      <c r="A153" s="4" t="s">
        <v>118</v>
      </c>
      <c r="B153" s="4" t="s">
        <v>36</v>
      </c>
      <c r="C153" s="6" t="n">
        <v>13.177</v>
      </c>
      <c r="D153" s="17" t="s">
        <v>265</v>
      </c>
      <c r="E153" s="18" t="s">
        <v>119</v>
      </c>
    </row>
    <row r="154" customFormat="false" ht="15" hidden="false" customHeight="true" outlineLevel="0" collapsed="false">
      <c r="A154" s="4" t="s">
        <v>118</v>
      </c>
      <c r="B154" s="4" t="s">
        <v>36</v>
      </c>
      <c r="C154" s="6" t="n">
        <v>14.269</v>
      </c>
      <c r="D154" s="4" t="s">
        <v>270</v>
      </c>
      <c r="E154" s="18" t="s">
        <v>271</v>
      </c>
    </row>
    <row r="155" customFormat="false" ht="15" hidden="false" customHeight="true" outlineLevel="0" collapsed="false">
      <c r="A155" s="4" t="s">
        <v>118</v>
      </c>
      <c r="B155" s="4" t="s">
        <v>36</v>
      </c>
      <c r="C155" s="6" t="n">
        <v>16.125</v>
      </c>
      <c r="D155" s="4" t="s">
        <v>266</v>
      </c>
      <c r="E155" s="18" t="s">
        <v>272</v>
      </c>
    </row>
    <row r="156" customFormat="false" ht="15" hidden="false" customHeight="true" outlineLevel="0" collapsed="false">
      <c r="A156" s="4" t="s">
        <v>118</v>
      </c>
      <c r="B156" s="4" t="s">
        <v>36</v>
      </c>
      <c r="C156" s="6" t="n">
        <v>20.793</v>
      </c>
      <c r="D156" s="4" t="s">
        <v>266</v>
      </c>
      <c r="E156" s="18" t="s">
        <v>273</v>
      </c>
    </row>
    <row r="157" customFormat="false" ht="15" hidden="false" customHeight="true" outlineLevel="0" collapsed="false">
      <c r="A157" s="4" t="s">
        <v>118</v>
      </c>
      <c r="B157" s="4" t="s">
        <v>36</v>
      </c>
      <c r="C157" s="6" t="n">
        <v>29.586</v>
      </c>
      <c r="D157" s="17" t="s">
        <v>265</v>
      </c>
      <c r="E157" s="18" t="s">
        <v>324</v>
      </c>
    </row>
    <row r="158" customFormat="false" ht="15" hidden="false" customHeight="true" outlineLevel="0" collapsed="false">
      <c r="A158" s="4" t="s">
        <v>118</v>
      </c>
      <c r="B158" s="4" t="s">
        <v>36</v>
      </c>
      <c r="C158" s="6" t="n">
        <v>29.599</v>
      </c>
      <c r="D158" s="4" t="s">
        <v>270</v>
      </c>
      <c r="E158" s="18" t="s">
        <v>281</v>
      </c>
    </row>
    <row r="159" customFormat="false" ht="15" hidden="false" customHeight="true" outlineLevel="0" collapsed="false">
      <c r="A159" s="4" t="s">
        <v>118</v>
      </c>
      <c r="B159" s="4" t="s">
        <v>36</v>
      </c>
      <c r="C159" s="6" t="n">
        <v>29.641</v>
      </c>
      <c r="D159" s="4" t="s">
        <v>266</v>
      </c>
      <c r="E159" s="18" t="s">
        <v>282</v>
      </c>
    </row>
    <row r="160" customFormat="false" ht="15" hidden="false" customHeight="true" outlineLevel="0" collapsed="false">
      <c r="A160" s="4" t="s">
        <v>118</v>
      </c>
      <c r="B160" s="4" t="s">
        <v>36</v>
      </c>
      <c r="C160" s="6" t="n">
        <v>35.998</v>
      </c>
      <c r="D160" s="4" t="s">
        <v>266</v>
      </c>
      <c r="E160" s="18" t="s">
        <v>325</v>
      </c>
    </row>
    <row r="161" customFormat="false" ht="15" hidden="false" customHeight="true" outlineLevel="0" collapsed="false">
      <c r="A161" s="4" t="s">
        <v>118</v>
      </c>
      <c r="B161" s="4" t="s">
        <v>36</v>
      </c>
      <c r="C161" s="6" t="n">
        <v>42.728</v>
      </c>
      <c r="D161" s="17" t="s">
        <v>265</v>
      </c>
      <c r="E161" s="18" t="s">
        <v>326</v>
      </c>
    </row>
    <row r="162" customFormat="false" ht="15" hidden="false" customHeight="true" outlineLevel="0" collapsed="false">
      <c r="A162" s="4" t="s">
        <v>118</v>
      </c>
      <c r="B162" s="4" t="s">
        <v>36</v>
      </c>
      <c r="C162" s="6" t="n">
        <v>42.734</v>
      </c>
      <c r="D162" s="4" t="s">
        <v>270</v>
      </c>
      <c r="E162" s="18" t="s">
        <v>277</v>
      </c>
    </row>
    <row r="163" customFormat="false" ht="15" hidden="false" customHeight="true" outlineLevel="0" collapsed="false">
      <c r="A163" s="4" t="s">
        <v>118</v>
      </c>
      <c r="B163" s="4" t="s">
        <v>36</v>
      </c>
      <c r="C163" s="6" t="n">
        <v>42.76</v>
      </c>
      <c r="D163" s="4" t="s">
        <v>266</v>
      </c>
      <c r="E163" s="18" t="s">
        <v>278</v>
      </c>
    </row>
    <row r="164" customFormat="false" ht="15" hidden="false" customHeight="true" outlineLevel="0" collapsed="false">
      <c r="A164" s="4" t="s">
        <v>118</v>
      </c>
      <c r="B164" s="4" t="s">
        <v>36</v>
      </c>
      <c r="C164" s="6" t="n">
        <v>46.749</v>
      </c>
      <c r="D164" s="4" t="s">
        <v>266</v>
      </c>
      <c r="E164" s="18" t="s">
        <v>310</v>
      </c>
    </row>
    <row r="165" customFormat="false" ht="15" hidden="false" customHeight="true" outlineLevel="0" collapsed="false">
      <c r="A165" s="4" t="s">
        <v>122</v>
      </c>
      <c r="B165" s="4" t="s">
        <v>36</v>
      </c>
      <c r="C165" s="6" t="n">
        <v>12.249</v>
      </c>
      <c r="D165" s="17" t="s">
        <v>265</v>
      </c>
      <c r="E165" s="18" t="s">
        <v>124</v>
      </c>
    </row>
    <row r="166" customFormat="false" ht="15" hidden="false" customHeight="true" outlineLevel="0" collapsed="false">
      <c r="A166" s="4" t="s">
        <v>122</v>
      </c>
      <c r="B166" s="4" t="s">
        <v>36</v>
      </c>
      <c r="C166" s="6" t="n">
        <v>12.281</v>
      </c>
      <c r="D166" s="4" t="s">
        <v>270</v>
      </c>
      <c r="E166" s="18" t="s">
        <v>284</v>
      </c>
    </row>
    <row r="167" customFormat="false" ht="15" hidden="false" customHeight="true" outlineLevel="0" collapsed="false">
      <c r="A167" s="4" t="s">
        <v>122</v>
      </c>
      <c r="B167" s="4" t="s">
        <v>36</v>
      </c>
      <c r="C167" s="6" t="n">
        <v>12.311</v>
      </c>
      <c r="D167" s="4" t="s">
        <v>266</v>
      </c>
      <c r="E167" s="18" t="s">
        <v>285</v>
      </c>
    </row>
    <row r="168" customFormat="false" ht="15" hidden="false" customHeight="true" outlineLevel="0" collapsed="false">
      <c r="A168" s="4" t="s">
        <v>122</v>
      </c>
      <c r="B168" s="4" t="s">
        <v>36</v>
      </c>
      <c r="C168" s="6" t="n">
        <v>22.388</v>
      </c>
      <c r="D168" s="17" t="s">
        <v>265</v>
      </c>
      <c r="E168" s="18" t="s">
        <v>327</v>
      </c>
    </row>
    <row r="169" customFormat="false" ht="15" hidden="false" customHeight="true" outlineLevel="0" collapsed="false">
      <c r="A169" s="4" t="s">
        <v>122</v>
      </c>
      <c r="B169" s="4" t="s">
        <v>36</v>
      </c>
      <c r="C169" s="6" t="n">
        <v>23.176</v>
      </c>
      <c r="D169" s="4" t="s">
        <v>266</v>
      </c>
      <c r="E169" s="18" t="s">
        <v>328</v>
      </c>
    </row>
    <row r="170" customFormat="false" ht="15" hidden="false" customHeight="true" outlineLevel="0" collapsed="false">
      <c r="A170" s="4" t="s">
        <v>122</v>
      </c>
      <c r="B170" s="4" t="s">
        <v>36</v>
      </c>
      <c r="C170" s="6" t="n">
        <v>28.094</v>
      </c>
      <c r="D170" s="17" t="s">
        <v>265</v>
      </c>
      <c r="E170" s="18" t="s">
        <v>329</v>
      </c>
    </row>
    <row r="171" customFormat="false" ht="15" hidden="false" customHeight="true" outlineLevel="0" collapsed="false">
      <c r="A171" s="4" t="s">
        <v>122</v>
      </c>
      <c r="B171" s="4" t="s">
        <v>36</v>
      </c>
      <c r="C171" s="6" t="n">
        <v>29.136</v>
      </c>
      <c r="D171" s="4" t="s">
        <v>270</v>
      </c>
      <c r="E171" s="18" t="s">
        <v>287</v>
      </c>
    </row>
    <row r="172" customFormat="false" ht="15" hidden="false" customHeight="true" outlineLevel="0" collapsed="false">
      <c r="A172" s="4" t="s">
        <v>122</v>
      </c>
      <c r="B172" s="4" t="s">
        <v>36</v>
      </c>
      <c r="C172" s="6" t="n">
        <v>29.177</v>
      </c>
      <c r="D172" s="4" t="s">
        <v>266</v>
      </c>
      <c r="E172" s="18" t="s">
        <v>330</v>
      </c>
    </row>
    <row r="173" customFormat="false" ht="15" hidden="false" customHeight="true" outlineLevel="0" collapsed="false">
      <c r="A173" s="4" t="s">
        <v>122</v>
      </c>
      <c r="B173" s="4" t="s">
        <v>36</v>
      </c>
      <c r="C173" s="6" t="n">
        <v>32.741</v>
      </c>
      <c r="D173" s="4" t="s">
        <v>266</v>
      </c>
      <c r="E173" s="18" t="s">
        <v>289</v>
      </c>
    </row>
    <row r="174" customFormat="false" ht="15" hidden="false" customHeight="true" outlineLevel="0" collapsed="false">
      <c r="A174" s="4" t="s">
        <v>122</v>
      </c>
      <c r="B174" s="4" t="s">
        <v>36</v>
      </c>
      <c r="C174" s="6" t="n">
        <v>35.778</v>
      </c>
      <c r="D174" s="4" t="s">
        <v>266</v>
      </c>
      <c r="E174" s="18" t="s">
        <v>290</v>
      </c>
    </row>
    <row r="175" customFormat="false" ht="15" hidden="false" customHeight="true" outlineLevel="0" collapsed="false">
      <c r="A175" s="4" t="s">
        <v>122</v>
      </c>
      <c r="B175" s="4" t="s">
        <v>36</v>
      </c>
      <c r="C175" s="6" t="n">
        <v>42.866</v>
      </c>
      <c r="D175" s="17" t="s">
        <v>265</v>
      </c>
      <c r="E175" s="18" t="s">
        <v>331</v>
      </c>
    </row>
    <row r="176" customFormat="false" ht="15" hidden="false" customHeight="true" outlineLevel="0" collapsed="false">
      <c r="A176" s="4" t="s">
        <v>122</v>
      </c>
      <c r="B176" s="4" t="s">
        <v>36</v>
      </c>
      <c r="C176" s="6" t="n">
        <v>42.878</v>
      </c>
      <c r="D176" s="4" t="s">
        <v>270</v>
      </c>
      <c r="E176" s="18" t="s">
        <v>57</v>
      </c>
    </row>
    <row r="177" customFormat="false" ht="15" hidden="false" customHeight="true" outlineLevel="0" collapsed="false">
      <c r="A177" s="4" t="s">
        <v>122</v>
      </c>
      <c r="B177" s="4" t="s">
        <v>36</v>
      </c>
      <c r="C177" s="6" t="n">
        <v>42.97</v>
      </c>
      <c r="D177" s="4" t="s">
        <v>266</v>
      </c>
      <c r="E177" s="18" t="s">
        <v>274</v>
      </c>
    </row>
    <row r="178" customFormat="false" ht="15" hidden="false" customHeight="true" outlineLevel="0" collapsed="false">
      <c r="A178" s="4" t="s">
        <v>122</v>
      </c>
      <c r="B178" s="4" t="s">
        <v>36</v>
      </c>
      <c r="C178" s="6" t="n">
        <v>47.988</v>
      </c>
      <c r="D178" s="4" t="s">
        <v>266</v>
      </c>
      <c r="E178" s="18" t="s">
        <v>295</v>
      </c>
    </row>
    <row r="179" customFormat="false" ht="15" hidden="false" customHeight="true" outlineLevel="0" collapsed="false">
      <c r="A179" s="4" t="s">
        <v>122</v>
      </c>
      <c r="B179" s="4" t="s">
        <v>36</v>
      </c>
      <c r="C179" s="6" t="n">
        <v>53.31</v>
      </c>
      <c r="D179" s="17" t="s">
        <v>265</v>
      </c>
      <c r="E179" s="18" t="s">
        <v>332</v>
      </c>
    </row>
    <row r="180" customFormat="false" ht="15" hidden="false" customHeight="true" outlineLevel="0" collapsed="false">
      <c r="A180" s="4" t="s">
        <v>122</v>
      </c>
      <c r="B180" s="4" t="s">
        <v>36</v>
      </c>
      <c r="C180" s="6" t="n">
        <v>54.358</v>
      </c>
      <c r="D180" s="4" t="s">
        <v>270</v>
      </c>
      <c r="E180" s="18" t="s">
        <v>333</v>
      </c>
    </row>
    <row r="181" customFormat="false" ht="15" hidden="false" customHeight="true" outlineLevel="0" collapsed="false">
      <c r="A181" s="4" t="s">
        <v>122</v>
      </c>
      <c r="B181" s="4" t="s">
        <v>36</v>
      </c>
      <c r="C181" s="6" t="n">
        <v>54.987</v>
      </c>
      <c r="D181" s="4" t="s">
        <v>266</v>
      </c>
      <c r="E181" s="18" t="s">
        <v>334</v>
      </c>
    </row>
    <row r="182" customFormat="false" ht="15" hidden="false" customHeight="true" outlineLevel="0" collapsed="false">
      <c r="A182" s="4" t="s">
        <v>122</v>
      </c>
      <c r="B182" s="4" t="s">
        <v>36</v>
      </c>
      <c r="C182" s="6" t="n">
        <v>56.339</v>
      </c>
      <c r="D182" s="17" t="s">
        <v>265</v>
      </c>
      <c r="E182" s="18" t="s">
        <v>335</v>
      </c>
    </row>
    <row r="183" customFormat="false" ht="15" hidden="false" customHeight="true" outlineLevel="0" collapsed="false">
      <c r="A183" s="4" t="s">
        <v>122</v>
      </c>
      <c r="B183" s="4" t="s">
        <v>36</v>
      </c>
      <c r="C183" s="6" t="n">
        <v>57.084</v>
      </c>
      <c r="D183" s="4" t="s">
        <v>270</v>
      </c>
      <c r="E183" s="18" t="s">
        <v>71</v>
      </c>
    </row>
    <row r="184" customFormat="false" ht="15" hidden="false" customHeight="true" outlineLevel="0" collapsed="false">
      <c r="A184" s="4" t="s">
        <v>122</v>
      </c>
      <c r="B184" s="4" t="s">
        <v>36</v>
      </c>
      <c r="C184" s="6" t="n">
        <v>57.127</v>
      </c>
      <c r="D184" s="4" t="s">
        <v>266</v>
      </c>
      <c r="E184" s="18" t="s">
        <v>292</v>
      </c>
    </row>
    <row r="185" customFormat="false" ht="15" hidden="false" customHeight="true" outlineLevel="0" collapsed="false">
      <c r="A185" s="4" t="s">
        <v>122</v>
      </c>
      <c r="B185" s="4" t="s">
        <v>36</v>
      </c>
      <c r="C185" s="6" t="n">
        <v>64.463</v>
      </c>
      <c r="D185" s="4" t="s">
        <v>266</v>
      </c>
      <c r="E185" s="18" t="s">
        <v>293</v>
      </c>
    </row>
    <row r="186" customFormat="false" ht="15" hidden="false" customHeight="true" outlineLevel="0" collapsed="false">
      <c r="A186" s="4" t="s">
        <v>122</v>
      </c>
      <c r="B186" s="4" t="s">
        <v>36</v>
      </c>
      <c r="C186" s="6" t="n">
        <v>71.006</v>
      </c>
      <c r="D186" s="17" t="s">
        <v>265</v>
      </c>
      <c r="E186" s="18" t="s">
        <v>321</v>
      </c>
    </row>
    <row r="187" customFormat="false" ht="15" hidden="false" customHeight="true" outlineLevel="0" collapsed="false">
      <c r="A187" s="4" t="s">
        <v>122</v>
      </c>
      <c r="B187" s="4" t="s">
        <v>36</v>
      </c>
      <c r="C187" s="6" t="n">
        <v>71.01</v>
      </c>
      <c r="D187" s="4" t="s">
        <v>270</v>
      </c>
      <c r="E187" s="18" t="s">
        <v>277</v>
      </c>
    </row>
    <row r="188" customFormat="false" ht="15" hidden="false" customHeight="true" outlineLevel="0" collapsed="false">
      <c r="A188" s="4" t="s">
        <v>122</v>
      </c>
      <c r="B188" s="4" t="s">
        <v>36</v>
      </c>
      <c r="C188" s="6" t="n">
        <v>71.03</v>
      </c>
      <c r="D188" s="4" t="s">
        <v>266</v>
      </c>
      <c r="E188" s="18" t="s">
        <v>278</v>
      </c>
    </row>
    <row r="189" customFormat="false" ht="15" hidden="false" customHeight="true" outlineLevel="0" collapsed="false">
      <c r="A189" s="4" t="s">
        <v>122</v>
      </c>
      <c r="B189" s="4" t="s">
        <v>36</v>
      </c>
      <c r="C189" s="6" t="n">
        <v>74.694</v>
      </c>
      <c r="D189" s="4" t="s">
        <v>266</v>
      </c>
      <c r="E189" s="18" t="s">
        <v>279</v>
      </c>
    </row>
    <row r="190" customFormat="false" ht="15" hidden="false" customHeight="true" outlineLevel="0" collapsed="false">
      <c r="A190" s="4" t="s">
        <v>122</v>
      </c>
      <c r="B190" s="4" t="s">
        <v>36</v>
      </c>
      <c r="C190" s="6" t="n">
        <v>82.6</v>
      </c>
      <c r="D190" s="17" t="s">
        <v>265</v>
      </c>
      <c r="E190" s="18" t="s">
        <v>336</v>
      </c>
    </row>
    <row r="191" customFormat="false" ht="15" hidden="false" customHeight="true" outlineLevel="0" collapsed="false">
      <c r="A191" s="4" t="s">
        <v>122</v>
      </c>
      <c r="B191" s="4" t="s">
        <v>36</v>
      </c>
      <c r="C191" s="6" t="n">
        <v>83.666</v>
      </c>
      <c r="D191" s="4" t="s">
        <v>266</v>
      </c>
      <c r="E191" s="18" t="s">
        <v>337</v>
      </c>
    </row>
    <row r="192" customFormat="false" ht="15" hidden="false" customHeight="true" outlineLevel="0" collapsed="false">
      <c r="A192" s="4" t="s">
        <v>122</v>
      </c>
      <c r="B192" s="4" t="s">
        <v>36</v>
      </c>
      <c r="C192" s="6" t="n">
        <v>88.89</v>
      </c>
      <c r="D192" s="17" t="s">
        <v>265</v>
      </c>
      <c r="E192" s="18" t="s">
        <v>307</v>
      </c>
    </row>
    <row r="193" customFormat="false" ht="15" hidden="false" customHeight="true" outlineLevel="0" collapsed="false">
      <c r="A193" s="4" t="s">
        <v>122</v>
      </c>
      <c r="B193" s="4" t="s">
        <v>36</v>
      </c>
      <c r="C193" s="6" t="n">
        <v>88.903</v>
      </c>
      <c r="D193" s="4" t="s">
        <v>270</v>
      </c>
      <c r="E193" s="18" t="s">
        <v>281</v>
      </c>
    </row>
    <row r="194" customFormat="false" ht="15" hidden="false" customHeight="true" outlineLevel="0" collapsed="false">
      <c r="A194" s="4" t="s">
        <v>122</v>
      </c>
      <c r="B194" s="4" t="s">
        <v>36</v>
      </c>
      <c r="C194" s="6" t="n">
        <v>88.917</v>
      </c>
      <c r="D194" s="4" t="s">
        <v>266</v>
      </c>
      <c r="E194" s="18" t="s">
        <v>282</v>
      </c>
    </row>
    <row r="195" customFormat="false" ht="15" hidden="false" customHeight="true" outlineLevel="0" collapsed="false">
      <c r="A195" s="4" t="s">
        <v>122</v>
      </c>
      <c r="B195" s="4" t="s">
        <v>36</v>
      </c>
      <c r="C195" s="6" t="n">
        <v>93.491</v>
      </c>
      <c r="D195" s="4" t="s">
        <v>266</v>
      </c>
      <c r="E195" s="18" t="s">
        <v>283</v>
      </c>
    </row>
    <row r="196" customFormat="false" ht="15" hidden="false" customHeight="true" outlineLevel="0" collapsed="false">
      <c r="A196" s="4" t="s">
        <v>122</v>
      </c>
      <c r="B196" s="4" t="s">
        <v>36</v>
      </c>
      <c r="C196" s="6" t="n">
        <v>118.339</v>
      </c>
      <c r="D196" s="17" t="s">
        <v>265</v>
      </c>
      <c r="E196" s="18" t="s">
        <v>338</v>
      </c>
    </row>
    <row r="197" customFormat="false" ht="15" hidden="false" customHeight="true" outlineLevel="0" collapsed="false">
      <c r="A197" s="4" t="s">
        <v>122</v>
      </c>
      <c r="B197" s="4" t="s">
        <v>36</v>
      </c>
      <c r="C197" s="6" t="n">
        <v>119.336</v>
      </c>
      <c r="D197" s="4" t="s">
        <v>266</v>
      </c>
      <c r="E197" s="18" t="s">
        <v>339</v>
      </c>
    </row>
    <row r="198" customFormat="false" ht="15" hidden="false" customHeight="true" outlineLevel="0" collapsed="false">
      <c r="A198" s="4" t="s">
        <v>127</v>
      </c>
      <c r="B198" s="4" t="s">
        <v>36</v>
      </c>
      <c r="C198" s="6" t="n">
        <v>5.736</v>
      </c>
      <c r="D198" s="17" t="s">
        <v>265</v>
      </c>
      <c r="E198" s="18" t="s">
        <v>128</v>
      </c>
    </row>
    <row r="199" customFormat="false" ht="15" hidden="false" customHeight="true" outlineLevel="0" collapsed="false">
      <c r="A199" s="4" t="s">
        <v>127</v>
      </c>
      <c r="B199" s="4" t="s">
        <v>36</v>
      </c>
      <c r="C199" s="6" t="n">
        <v>7.072</v>
      </c>
      <c r="D199" s="4" t="s">
        <v>266</v>
      </c>
      <c r="E199" s="18" t="s">
        <v>340</v>
      </c>
    </row>
    <row r="200" customFormat="false" ht="15" hidden="false" customHeight="true" outlineLevel="0" collapsed="false">
      <c r="A200" s="4" t="s">
        <v>130</v>
      </c>
      <c r="B200" s="4" t="s">
        <v>36</v>
      </c>
      <c r="C200" s="6" t="n">
        <v>5.119</v>
      </c>
      <c r="D200" s="17" t="s">
        <v>265</v>
      </c>
      <c r="E200" s="18" t="s">
        <v>131</v>
      </c>
    </row>
    <row r="201" customFormat="false" ht="15" hidden="false" customHeight="true" outlineLevel="0" collapsed="false">
      <c r="A201" s="4" t="s">
        <v>130</v>
      </c>
      <c r="B201" s="4" t="s">
        <v>36</v>
      </c>
      <c r="C201" s="6" t="n">
        <v>5.125</v>
      </c>
      <c r="D201" s="4" t="s">
        <v>270</v>
      </c>
      <c r="E201" s="18" t="s">
        <v>341</v>
      </c>
    </row>
    <row r="202" customFormat="false" ht="15" hidden="false" customHeight="true" outlineLevel="0" collapsed="false">
      <c r="A202" s="4" t="s">
        <v>130</v>
      </c>
      <c r="B202" s="4" t="s">
        <v>36</v>
      </c>
      <c r="C202" s="6" t="n">
        <v>9.782</v>
      </c>
      <c r="D202" s="4" t="s">
        <v>266</v>
      </c>
      <c r="E202" s="18" t="s">
        <v>342</v>
      </c>
    </row>
    <row r="203" customFormat="false" ht="15" hidden="false" customHeight="true" outlineLevel="0" collapsed="false">
      <c r="A203" s="4" t="s">
        <v>134</v>
      </c>
      <c r="B203" s="4" t="s">
        <v>36</v>
      </c>
      <c r="C203" s="6" t="n">
        <v>4.226</v>
      </c>
      <c r="D203" s="17" t="s">
        <v>265</v>
      </c>
      <c r="E203" s="18" t="s">
        <v>135</v>
      </c>
    </row>
    <row r="204" customFormat="false" ht="15" hidden="false" customHeight="true" outlineLevel="0" collapsed="false">
      <c r="A204" s="4" t="s">
        <v>134</v>
      </c>
      <c r="B204" s="4" t="s">
        <v>36</v>
      </c>
      <c r="C204" s="6" t="n">
        <v>5.546</v>
      </c>
      <c r="D204" s="4" t="s">
        <v>270</v>
      </c>
      <c r="E204" s="18" t="s">
        <v>343</v>
      </c>
    </row>
    <row r="205" customFormat="false" ht="15" hidden="false" customHeight="true" outlineLevel="0" collapsed="false">
      <c r="A205" s="4" t="s">
        <v>134</v>
      </c>
      <c r="B205" s="4" t="s">
        <v>36</v>
      </c>
      <c r="C205" s="6" t="n">
        <v>7.143</v>
      </c>
      <c r="D205" s="4" t="s">
        <v>266</v>
      </c>
      <c r="E205" s="18" t="s">
        <v>304</v>
      </c>
    </row>
    <row r="206" customFormat="false" ht="15" hidden="false" customHeight="true" outlineLevel="0" collapsed="false">
      <c r="A206" s="4" t="s">
        <v>134</v>
      </c>
      <c r="B206" s="4" t="s">
        <v>36</v>
      </c>
      <c r="C206" s="6" t="n">
        <v>11.804</v>
      </c>
      <c r="D206" s="4" t="s">
        <v>266</v>
      </c>
      <c r="E206" s="18" t="s">
        <v>305</v>
      </c>
    </row>
    <row r="207" customFormat="false" ht="15" hidden="false" customHeight="true" outlineLevel="0" collapsed="false">
      <c r="A207" s="4" t="s">
        <v>134</v>
      </c>
      <c r="B207" s="4" t="s">
        <v>36</v>
      </c>
      <c r="C207" s="6" t="n">
        <v>20.351</v>
      </c>
      <c r="D207" s="17" t="s">
        <v>265</v>
      </c>
      <c r="E207" s="18" t="s">
        <v>344</v>
      </c>
    </row>
    <row r="208" customFormat="false" ht="15" hidden="false" customHeight="true" outlineLevel="0" collapsed="false">
      <c r="A208" s="4" t="s">
        <v>134</v>
      </c>
      <c r="B208" s="4" t="s">
        <v>36</v>
      </c>
      <c r="C208" s="6" t="n">
        <v>21.497</v>
      </c>
      <c r="D208" s="4" t="s">
        <v>270</v>
      </c>
      <c r="E208" s="18" t="s">
        <v>345</v>
      </c>
    </row>
    <row r="209" customFormat="false" ht="15" hidden="false" customHeight="true" outlineLevel="0" collapsed="false">
      <c r="A209" s="4" t="s">
        <v>134</v>
      </c>
      <c r="B209" s="4" t="s">
        <v>36</v>
      </c>
      <c r="C209" s="6" t="n">
        <v>21.679</v>
      </c>
      <c r="D209" s="4" t="s">
        <v>266</v>
      </c>
      <c r="E209" s="18" t="s">
        <v>282</v>
      </c>
    </row>
    <row r="210" customFormat="false" ht="15" hidden="false" customHeight="true" outlineLevel="0" collapsed="false">
      <c r="A210" s="4" t="s">
        <v>134</v>
      </c>
      <c r="B210" s="4" t="s">
        <v>36</v>
      </c>
      <c r="C210" s="6" t="n">
        <v>28.299</v>
      </c>
      <c r="D210" s="4" t="s">
        <v>266</v>
      </c>
      <c r="E210" s="18" t="s">
        <v>278</v>
      </c>
    </row>
    <row r="211" customFormat="false" ht="15" hidden="false" customHeight="true" outlineLevel="0" collapsed="false">
      <c r="A211" s="4" t="s">
        <v>134</v>
      </c>
      <c r="B211" s="4" t="s">
        <v>36</v>
      </c>
      <c r="C211" s="6" t="n">
        <v>32.321</v>
      </c>
      <c r="D211" s="4" t="s">
        <v>266</v>
      </c>
      <c r="E211" s="18" t="s">
        <v>310</v>
      </c>
    </row>
    <row r="212" customFormat="false" ht="15" hidden="false" customHeight="true" outlineLevel="0" collapsed="false">
      <c r="A212" s="4" t="s">
        <v>138</v>
      </c>
      <c r="B212" s="4" t="s">
        <v>36</v>
      </c>
      <c r="C212" s="6" t="n">
        <v>4.459</v>
      </c>
      <c r="D212" s="17" t="s">
        <v>265</v>
      </c>
      <c r="E212" s="18" t="s">
        <v>69</v>
      </c>
    </row>
    <row r="213" customFormat="false" ht="15" hidden="false" customHeight="true" outlineLevel="0" collapsed="false">
      <c r="A213" s="4" t="s">
        <v>138</v>
      </c>
      <c r="B213" s="4" t="s">
        <v>36</v>
      </c>
      <c r="C213" s="6" t="n">
        <v>4.678</v>
      </c>
      <c r="D213" s="4" t="s">
        <v>270</v>
      </c>
      <c r="E213" s="18" t="s">
        <v>284</v>
      </c>
    </row>
    <row r="214" customFormat="false" ht="15" hidden="false" customHeight="true" outlineLevel="0" collapsed="false">
      <c r="A214" s="4" t="s">
        <v>138</v>
      </c>
      <c r="B214" s="4" t="s">
        <v>36</v>
      </c>
      <c r="C214" s="6" t="n">
        <v>4.706</v>
      </c>
      <c r="D214" s="4" t="s">
        <v>266</v>
      </c>
      <c r="E214" s="18" t="s">
        <v>285</v>
      </c>
    </row>
    <row r="215" customFormat="false" ht="15" hidden="false" customHeight="true" outlineLevel="0" collapsed="false">
      <c r="A215" s="4" t="s">
        <v>138</v>
      </c>
      <c r="B215" s="4" t="s">
        <v>36</v>
      </c>
      <c r="C215" s="6" t="n">
        <v>13.699</v>
      </c>
      <c r="D215" s="17" t="s">
        <v>265</v>
      </c>
      <c r="E215" s="18" t="s">
        <v>346</v>
      </c>
    </row>
    <row r="216" customFormat="false" ht="15" hidden="false" customHeight="true" outlineLevel="0" collapsed="false">
      <c r="A216" s="4" t="s">
        <v>138</v>
      </c>
      <c r="B216" s="4" t="s">
        <v>36</v>
      </c>
      <c r="C216" s="6" t="n">
        <v>14.821</v>
      </c>
      <c r="D216" s="4" t="s">
        <v>270</v>
      </c>
      <c r="E216" s="18" t="s">
        <v>315</v>
      </c>
    </row>
    <row r="217" customFormat="false" ht="15" hidden="false" customHeight="true" outlineLevel="0" collapsed="false">
      <c r="A217" s="4" t="s">
        <v>138</v>
      </c>
      <c r="B217" s="4" t="s">
        <v>36</v>
      </c>
      <c r="C217" s="6" t="n">
        <v>14.898</v>
      </c>
      <c r="D217" s="4" t="s">
        <v>266</v>
      </c>
      <c r="E217" s="18" t="s">
        <v>347</v>
      </c>
    </row>
    <row r="218" customFormat="false" ht="15" hidden="false" customHeight="true" outlineLevel="0" collapsed="false">
      <c r="A218" s="4" t="s">
        <v>138</v>
      </c>
      <c r="B218" s="4" t="s">
        <v>36</v>
      </c>
      <c r="C218" s="6" t="n">
        <v>17.666</v>
      </c>
      <c r="D218" s="4" t="s">
        <v>266</v>
      </c>
      <c r="E218" s="18" t="s">
        <v>289</v>
      </c>
    </row>
    <row r="219" customFormat="false" ht="15" hidden="false" customHeight="true" outlineLevel="0" collapsed="false">
      <c r="A219" s="4" t="s">
        <v>138</v>
      </c>
      <c r="B219" s="4" t="s">
        <v>36</v>
      </c>
      <c r="C219" s="6" t="n">
        <v>20.784</v>
      </c>
      <c r="D219" s="4" t="s">
        <v>266</v>
      </c>
      <c r="E219" s="18" t="s">
        <v>290</v>
      </c>
    </row>
    <row r="220" customFormat="false" ht="15" hidden="false" customHeight="true" outlineLevel="0" collapsed="false">
      <c r="A220" s="4" t="s">
        <v>138</v>
      </c>
      <c r="B220" s="4" t="s">
        <v>36</v>
      </c>
      <c r="C220" s="6" t="n">
        <v>26.7</v>
      </c>
      <c r="D220" s="17" t="s">
        <v>265</v>
      </c>
      <c r="E220" s="18" t="s">
        <v>306</v>
      </c>
    </row>
    <row r="221" customFormat="false" ht="15" hidden="false" customHeight="true" outlineLevel="0" collapsed="false">
      <c r="A221" s="4" t="s">
        <v>138</v>
      </c>
      <c r="B221" s="4" t="s">
        <v>36</v>
      </c>
      <c r="C221" s="6" t="n">
        <v>26.704</v>
      </c>
      <c r="D221" s="4" t="s">
        <v>270</v>
      </c>
      <c r="E221" s="18" t="s">
        <v>281</v>
      </c>
    </row>
    <row r="222" customFormat="false" ht="15" hidden="false" customHeight="true" outlineLevel="0" collapsed="false">
      <c r="A222" s="4" t="s">
        <v>138</v>
      </c>
      <c r="B222" s="4" t="s">
        <v>36</v>
      </c>
      <c r="C222" s="6" t="n">
        <v>26.908</v>
      </c>
      <c r="D222" s="4" t="s">
        <v>266</v>
      </c>
      <c r="E222" s="18" t="s">
        <v>282</v>
      </c>
    </row>
    <row r="223" customFormat="false" ht="15" hidden="false" customHeight="true" outlineLevel="0" collapsed="false">
      <c r="A223" s="4" t="s">
        <v>138</v>
      </c>
      <c r="B223" s="4" t="s">
        <v>36</v>
      </c>
      <c r="C223" s="6" t="n">
        <v>33.486</v>
      </c>
      <c r="D223" s="4" t="s">
        <v>266</v>
      </c>
      <c r="E223" s="18" t="s">
        <v>317</v>
      </c>
    </row>
    <row r="224" customFormat="false" ht="15" hidden="false" customHeight="true" outlineLevel="0" collapsed="false">
      <c r="A224" s="4" t="s">
        <v>138</v>
      </c>
      <c r="B224" s="4" t="s">
        <v>36</v>
      </c>
      <c r="C224" s="6" t="n">
        <v>41.951</v>
      </c>
      <c r="D224" s="17" t="s">
        <v>265</v>
      </c>
      <c r="E224" s="18" t="s">
        <v>294</v>
      </c>
    </row>
    <row r="225" customFormat="false" ht="15" hidden="false" customHeight="true" outlineLevel="0" collapsed="false">
      <c r="A225" s="4" t="s">
        <v>138</v>
      </c>
      <c r="B225" s="4" t="s">
        <v>36</v>
      </c>
      <c r="C225" s="6" t="n">
        <v>42.147</v>
      </c>
      <c r="D225" s="4" t="s">
        <v>270</v>
      </c>
      <c r="E225" s="18" t="s">
        <v>277</v>
      </c>
    </row>
    <row r="226" customFormat="false" ht="15" hidden="false" customHeight="true" outlineLevel="0" collapsed="false">
      <c r="A226" s="4" t="s">
        <v>138</v>
      </c>
      <c r="B226" s="4" t="s">
        <v>36</v>
      </c>
      <c r="C226" s="6" t="n">
        <v>42.214</v>
      </c>
      <c r="D226" s="4" t="s">
        <v>266</v>
      </c>
      <c r="E226" s="18" t="s">
        <v>278</v>
      </c>
    </row>
    <row r="227" customFormat="false" ht="15" hidden="false" customHeight="true" outlineLevel="0" collapsed="false">
      <c r="A227" s="4" t="s">
        <v>138</v>
      </c>
      <c r="B227" s="4" t="s">
        <v>36</v>
      </c>
      <c r="C227" s="6" t="n">
        <v>46.161</v>
      </c>
      <c r="D227" s="4" t="s">
        <v>266</v>
      </c>
      <c r="E227" s="18" t="s">
        <v>310</v>
      </c>
    </row>
    <row r="228" customFormat="false" ht="15" hidden="false" customHeight="true" outlineLevel="0" collapsed="false">
      <c r="A228" s="4" t="s">
        <v>141</v>
      </c>
      <c r="B228" s="4" t="s">
        <v>36</v>
      </c>
      <c r="C228" s="6" t="n">
        <v>4.322</v>
      </c>
      <c r="D228" s="17" t="s">
        <v>265</v>
      </c>
      <c r="E228" s="18" t="s">
        <v>69</v>
      </c>
    </row>
    <row r="229" customFormat="false" ht="15" hidden="false" customHeight="true" outlineLevel="0" collapsed="false">
      <c r="A229" s="4" t="s">
        <v>141</v>
      </c>
      <c r="B229" s="4" t="s">
        <v>36</v>
      </c>
      <c r="C229" s="6" t="n">
        <v>4.33</v>
      </c>
      <c r="D229" s="4" t="s">
        <v>270</v>
      </c>
      <c r="E229" s="18" t="s">
        <v>284</v>
      </c>
    </row>
    <row r="230" customFormat="false" ht="15" hidden="false" customHeight="true" outlineLevel="0" collapsed="false">
      <c r="A230" s="4" t="s">
        <v>141</v>
      </c>
      <c r="B230" s="4" t="s">
        <v>36</v>
      </c>
      <c r="C230" s="6" t="n">
        <v>4.397</v>
      </c>
      <c r="D230" s="4" t="s">
        <v>266</v>
      </c>
      <c r="E230" s="18" t="s">
        <v>285</v>
      </c>
    </row>
    <row r="231" customFormat="false" ht="15" hidden="false" customHeight="true" outlineLevel="0" collapsed="false">
      <c r="A231" s="4" t="s">
        <v>141</v>
      </c>
      <c r="B231" s="4" t="s">
        <v>36</v>
      </c>
      <c r="C231" s="6" t="n">
        <v>11.184</v>
      </c>
      <c r="D231" s="4" t="s">
        <v>266</v>
      </c>
      <c r="E231" s="18" t="s">
        <v>348</v>
      </c>
    </row>
    <row r="232" customFormat="false" ht="15" hidden="false" customHeight="true" outlineLevel="0" collapsed="false">
      <c r="A232" s="4" t="s">
        <v>141</v>
      </c>
      <c r="B232" s="4" t="s">
        <v>36</v>
      </c>
      <c r="C232" s="6" t="n">
        <v>17.2</v>
      </c>
      <c r="D232" s="17" t="s">
        <v>265</v>
      </c>
      <c r="E232" s="18" t="s">
        <v>349</v>
      </c>
    </row>
    <row r="233" customFormat="false" ht="15" hidden="false" customHeight="true" outlineLevel="0" collapsed="false">
      <c r="A233" s="4" t="s">
        <v>141</v>
      </c>
      <c r="B233" s="4" t="s">
        <v>36</v>
      </c>
      <c r="C233" s="6" t="n">
        <v>18.698</v>
      </c>
      <c r="D233" s="4" t="s">
        <v>266</v>
      </c>
      <c r="E233" s="18" t="s">
        <v>350</v>
      </c>
    </row>
    <row r="234" customFormat="false" ht="15" hidden="false" customHeight="true" outlineLevel="0" collapsed="false">
      <c r="A234" s="4" t="s">
        <v>141</v>
      </c>
      <c r="B234" s="4" t="s">
        <v>36</v>
      </c>
      <c r="C234" s="6" t="n">
        <v>24.849</v>
      </c>
      <c r="D234" s="17" t="s">
        <v>265</v>
      </c>
      <c r="E234" s="18" t="s">
        <v>351</v>
      </c>
    </row>
    <row r="235" customFormat="false" ht="15" hidden="false" customHeight="true" outlineLevel="0" collapsed="false">
      <c r="A235" s="4" t="s">
        <v>141</v>
      </c>
      <c r="B235" s="4" t="s">
        <v>36</v>
      </c>
      <c r="C235" s="6" t="n">
        <v>24.875</v>
      </c>
      <c r="D235" s="4" t="s">
        <v>270</v>
      </c>
      <c r="E235" s="18" t="s">
        <v>352</v>
      </c>
    </row>
    <row r="236" customFormat="false" ht="15" hidden="false" customHeight="true" outlineLevel="0" collapsed="false">
      <c r="A236" s="4" t="s">
        <v>141</v>
      </c>
      <c r="B236" s="4" t="s">
        <v>36</v>
      </c>
      <c r="C236" s="6" t="n">
        <v>25.268</v>
      </c>
      <c r="D236" s="4" t="s">
        <v>266</v>
      </c>
      <c r="E236" s="18" t="s">
        <v>353</v>
      </c>
    </row>
    <row r="237" customFormat="false" ht="15" hidden="false" customHeight="true" outlineLevel="0" collapsed="false">
      <c r="A237" s="4" t="s">
        <v>141</v>
      </c>
      <c r="B237" s="4" t="s">
        <v>36</v>
      </c>
      <c r="C237" s="6" t="n">
        <v>27.324</v>
      </c>
      <c r="D237" s="17" t="s">
        <v>265</v>
      </c>
      <c r="E237" s="18" t="s">
        <v>354</v>
      </c>
    </row>
    <row r="238" customFormat="false" ht="15" hidden="false" customHeight="true" outlineLevel="0" collapsed="false">
      <c r="A238" s="4" t="s">
        <v>141</v>
      </c>
      <c r="B238" s="4" t="s">
        <v>36</v>
      </c>
      <c r="C238" s="6" t="n">
        <v>28.372</v>
      </c>
      <c r="D238" s="4" t="s">
        <v>270</v>
      </c>
      <c r="E238" s="18" t="s">
        <v>355</v>
      </c>
    </row>
    <row r="239" customFormat="false" ht="15" hidden="false" customHeight="true" outlineLevel="0" collapsed="false">
      <c r="A239" s="4" t="s">
        <v>141</v>
      </c>
      <c r="B239" s="4" t="s">
        <v>36</v>
      </c>
      <c r="C239" s="6" t="n">
        <v>28.994</v>
      </c>
      <c r="D239" s="4" t="s">
        <v>266</v>
      </c>
      <c r="E239" s="18" t="s">
        <v>356</v>
      </c>
    </row>
    <row r="240" customFormat="false" ht="15" hidden="false" customHeight="true" outlineLevel="0" collapsed="false">
      <c r="A240" s="4" t="s">
        <v>141</v>
      </c>
      <c r="B240" s="4" t="s">
        <v>36</v>
      </c>
      <c r="C240" s="6" t="n">
        <v>31.772</v>
      </c>
      <c r="D240" s="4" t="s">
        <v>266</v>
      </c>
      <c r="E240" s="18" t="s">
        <v>289</v>
      </c>
    </row>
    <row r="241" customFormat="false" ht="15" hidden="false" customHeight="true" outlineLevel="0" collapsed="false">
      <c r="A241" s="4" t="s">
        <v>141</v>
      </c>
      <c r="B241" s="4" t="s">
        <v>36</v>
      </c>
      <c r="C241" s="6" t="n">
        <v>34.822</v>
      </c>
      <c r="D241" s="4" t="s">
        <v>266</v>
      </c>
      <c r="E241" s="18" t="s">
        <v>290</v>
      </c>
    </row>
    <row r="242" customFormat="false" ht="15" hidden="false" customHeight="true" outlineLevel="0" collapsed="false">
      <c r="A242" s="4" t="s">
        <v>141</v>
      </c>
      <c r="B242" s="4" t="s">
        <v>36</v>
      </c>
      <c r="C242" s="6" t="n">
        <v>42.401</v>
      </c>
      <c r="D242" s="17" t="s">
        <v>265</v>
      </c>
      <c r="E242" s="18" t="s">
        <v>86</v>
      </c>
    </row>
    <row r="243" customFormat="false" ht="15" hidden="false" customHeight="true" outlineLevel="0" collapsed="false">
      <c r="A243" s="4" t="s">
        <v>141</v>
      </c>
      <c r="B243" s="4" t="s">
        <v>36</v>
      </c>
      <c r="C243" s="6" t="n">
        <v>42.679</v>
      </c>
      <c r="D243" s="4" t="s">
        <v>270</v>
      </c>
      <c r="E243" s="18" t="s">
        <v>57</v>
      </c>
    </row>
    <row r="244" customFormat="false" ht="15" hidden="false" customHeight="true" outlineLevel="0" collapsed="false">
      <c r="A244" s="4" t="s">
        <v>141</v>
      </c>
      <c r="B244" s="4" t="s">
        <v>36</v>
      </c>
      <c r="C244" s="6" t="n">
        <v>42.885</v>
      </c>
      <c r="D244" s="4" t="s">
        <v>266</v>
      </c>
      <c r="E244" s="18" t="s">
        <v>274</v>
      </c>
    </row>
    <row r="245" customFormat="false" ht="15" hidden="false" customHeight="true" outlineLevel="0" collapsed="false">
      <c r="A245" s="4" t="s">
        <v>141</v>
      </c>
      <c r="B245" s="4" t="s">
        <v>36</v>
      </c>
      <c r="C245" s="6" t="n">
        <v>48.684</v>
      </c>
      <c r="D245" s="4" t="s">
        <v>266</v>
      </c>
      <c r="E245" s="18" t="s">
        <v>295</v>
      </c>
    </row>
    <row r="246" customFormat="false" ht="15" hidden="false" customHeight="true" outlineLevel="0" collapsed="false">
      <c r="A246" s="4" t="s">
        <v>141</v>
      </c>
      <c r="B246" s="4" t="s">
        <v>36</v>
      </c>
      <c r="C246" s="6" t="n">
        <v>58.531</v>
      </c>
      <c r="D246" s="17" t="s">
        <v>265</v>
      </c>
      <c r="E246" s="18" t="s">
        <v>357</v>
      </c>
    </row>
    <row r="247" customFormat="false" ht="15" hidden="false" customHeight="true" outlineLevel="0" collapsed="false">
      <c r="A247" s="4" t="s">
        <v>141</v>
      </c>
      <c r="B247" s="4" t="s">
        <v>36</v>
      </c>
      <c r="C247" s="6" t="n">
        <v>58.66</v>
      </c>
      <c r="D247" s="4" t="s">
        <v>270</v>
      </c>
      <c r="E247" s="18" t="s">
        <v>313</v>
      </c>
    </row>
    <row r="248" customFormat="false" ht="15" hidden="false" customHeight="true" outlineLevel="0" collapsed="false">
      <c r="A248" s="4" t="s">
        <v>141</v>
      </c>
      <c r="B248" s="4" t="s">
        <v>36</v>
      </c>
      <c r="C248" s="6" t="n">
        <v>58.717</v>
      </c>
      <c r="D248" s="4" t="s">
        <v>266</v>
      </c>
      <c r="E248" s="18" t="s">
        <v>278</v>
      </c>
    </row>
    <row r="249" customFormat="false" ht="15" hidden="false" customHeight="true" outlineLevel="0" collapsed="false">
      <c r="A249" s="4" t="s">
        <v>141</v>
      </c>
      <c r="B249" s="4" t="s">
        <v>36</v>
      </c>
      <c r="C249" s="6" t="n">
        <v>67.202</v>
      </c>
      <c r="D249" s="4" t="s">
        <v>266</v>
      </c>
      <c r="E249" s="18" t="s">
        <v>283</v>
      </c>
    </row>
    <row r="250" customFormat="false" ht="15" hidden="false" customHeight="true" outlineLevel="0" collapsed="false">
      <c r="A250" s="4" t="s">
        <v>145</v>
      </c>
      <c r="B250" s="4" t="s">
        <v>36</v>
      </c>
      <c r="C250" s="6" t="n">
        <v>9.314</v>
      </c>
      <c r="D250" s="4" t="s">
        <v>266</v>
      </c>
      <c r="E250" s="18" t="s">
        <v>358</v>
      </c>
    </row>
    <row r="251" customFormat="false" ht="15" hidden="false" customHeight="true" outlineLevel="0" collapsed="false">
      <c r="A251" s="4" t="s">
        <v>145</v>
      </c>
      <c r="B251" s="4" t="s">
        <v>36</v>
      </c>
      <c r="C251" s="6" t="n">
        <v>20.203</v>
      </c>
      <c r="D251" s="17" t="s">
        <v>265</v>
      </c>
      <c r="E251" s="18" t="s">
        <v>146</v>
      </c>
    </row>
    <row r="252" customFormat="false" ht="15" hidden="false" customHeight="true" outlineLevel="0" collapsed="false">
      <c r="A252" s="4" t="s">
        <v>145</v>
      </c>
      <c r="B252" s="4" t="s">
        <v>36</v>
      </c>
      <c r="C252" s="6" t="n">
        <v>20.245</v>
      </c>
      <c r="D252" s="4" t="s">
        <v>270</v>
      </c>
      <c r="E252" s="18" t="s">
        <v>359</v>
      </c>
    </row>
    <row r="253" customFormat="false" ht="15" hidden="false" customHeight="true" outlineLevel="0" collapsed="false">
      <c r="A253" s="4" t="s">
        <v>145</v>
      </c>
      <c r="B253" s="4" t="s">
        <v>36</v>
      </c>
      <c r="C253" s="6" t="n">
        <v>21.004</v>
      </c>
      <c r="D253" s="4" t="s">
        <v>266</v>
      </c>
      <c r="E253" s="18" t="s">
        <v>272</v>
      </c>
    </row>
    <row r="254" customFormat="false" ht="15" hidden="false" customHeight="true" outlineLevel="0" collapsed="false">
      <c r="A254" s="4" t="s">
        <v>145</v>
      </c>
      <c r="B254" s="4" t="s">
        <v>36</v>
      </c>
      <c r="C254" s="6" t="n">
        <v>25.638</v>
      </c>
      <c r="D254" s="4" t="s">
        <v>266</v>
      </c>
      <c r="E254" s="18" t="s">
        <v>273</v>
      </c>
    </row>
    <row r="255" customFormat="false" ht="15" hidden="false" customHeight="true" outlineLevel="0" collapsed="false">
      <c r="A255" s="4" t="s">
        <v>145</v>
      </c>
      <c r="B255" s="4" t="s">
        <v>36</v>
      </c>
      <c r="C255" s="6" t="n">
        <v>34.689</v>
      </c>
      <c r="D255" s="17" t="s">
        <v>265</v>
      </c>
      <c r="E255" s="18" t="s">
        <v>360</v>
      </c>
    </row>
    <row r="256" customFormat="false" ht="15" hidden="false" customHeight="true" outlineLevel="0" collapsed="false">
      <c r="A256" s="4" t="s">
        <v>145</v>
      </c>
      <c r="B256" s="4" t="s">
        <v>36</v>
      </c>
      <c r="C256" s="6" t="n">
        <v>34.693</v>
      </c>
      <c r="D256" s="4" t="s">
        <v>270</v>
      </c>
      <c r="E256" s="18" t="s">
        <v>361</v>
      </c>
    </row>
    <row r="257" customFormat="false" ht="15" hidden="false" customHeight="true" outlineLevel="0" collapsed="false">
      <c r="A257" s="4" t="s">
        <v>145</v>
      </c>
      <c r="B257" s="4" t="s">
        <v>36</v>
      </c>
      <c r="C257" s="6" t="n">
        <v>34.862</v>
      </c>
      <c r="D257" s="4" t="s">
        <v>266</v>
      </c>
      <c r="E257" s="18" t="s">
        <v>274</v>
      </c>
    </row>
    <row r="258" customFormat="false" ht="15" hidden="false" customHeight="true" outlineLevel="0" collapsed="false">
      <c r="A258" s="4" t="s">
        <v>145</v>
      </c>
      <c r="B258" s="4" t="s">
        <v>36</v>
      </c>
      <c r="C258" s="6" t="n">
        <v>39.808</v>
      </c>
      <c r="D258" s="4" t="s">
        <v>266</v>
      </c>
      <c r="E258" s="18" t="s">
        <v>278</v>
      </c>
    </row>
    <row r="259" customFormat="false" ht="15" hidden="false" customHeight="true" outlineLevel="0" collapsed="false">
      <c r="A259" s="4" t="s">
        <v>145</v>
      </c>
      <c r="B259" s="4" t="s">
        <v>36</v>
      </c>
      <c r="C259" s="6" t="n">
        <v>48.408</v>
      </c>
      <c r="D259" s="4" t="s">
        <v>266</v>
      </c>
      <c r="E259" s="18" t="s">
        <v>283</v>
      </c>
    </row>
    <row r="260" customFormat="false" ht="15" hidden="false" customHeight="true" outlineLevel="0" collapsed="false">
      <c r="A260" s="4" t="s">
        <v>149</v>
      </c>
      <c r="B260" s="4" t="s">
        <v>36</v>
      </c>
      <c r="C260" s="6" t="n">
        <v>6.378</v>
      </c>
      <c r="D260" s="17" t="s">
        <v>265</v>
      </c>
      <c r="E260" s="18" t="s">
        <v>152</v>
      </c>
    </row>
    <row r="261" customFormat="false" ht="15" hidden="false" customHeight="true" outlineLevel="0" collapsed="false">
      <c r="A261" s="4" t="s">
        <v>149</v>
      </c>
      <c r="B261" s="4" t="s">
        <v>36</v>
      </c>
      <c r="C261" s="6" t="n">
        <v>7.812</v>
      </c>
      <c r="D261" s="4" t="s">
        <v>270</v>
      </c>
      <c r="E261" s="18" t="s">
        <v>362</v>
      </c>
    </row>
    <row r="262" customFormat="false" ht="15" hidden="false" customHeight="true" outlineLevel="0" collapsed="false">
      <c r="A262" s="4" t="s">
        <v>149</v>
      </c>
      <c r="B262" s="4" t="s">
        <v>36</v>
      </c>
      <c r="C262" s="6" t="n">
        <v>8.017</v>
      </c>
      <c r="D262" s="4" t="s">
        <v>270</v>
      </c>
      <c r="E262" s="18" t="s">
        <v>363</v>
      </c>
    </row>
    <row r="263" customFormat="false" ht="15" hidden="false" customHeight="true" outlineLevel="0" collapsed="false">
      <c r="A263" s="4" t="s">
        <v>149</v>
      </c>
      <c r="B263" s="4" t="s">
        <v>36</v>
      </c>
      <c r="C263" s="6" t="n">
        <v>8.047</v>
      </c>
      <c r="D263" s="4" t="s">
        <v>270</v>
      </c>
      <c r="E263" s="18" t="s">
        <v>281</v>
      </c>
    </row>
    <row r="264" customFormat="false" ht="15" hidden="false" customHeight="true" outlineLevel="0" collapsed="false">
      <c r="A264" s="4" t="s">
        <v>149</v>
      </c>
      <c r="B264" s="4" t="s">
        <v>36</v>
      </c>
      <c r="C264" s="6" t="n">
        <v>9.268</v>
      </c>
      <c r="D264" s="4" t="s">
        <v>266</v>
      </c>
      <c r="E264" s="18" t="s">
        <v>364</v>
      </c>
    </row>
    <row r="265" customFormat="false" ht="15" hidden="false" customHeight="true" outlineLevel="0" collapsed="false">
      <c r="A265" s="4" t="s">
        <v>154</v>
      </c>
      <c r="B265" s="4" t="s">
        <v>155</v>
      </c>
      <c r="C265" s="6" t="n">
        <v>7.281</v>
      </c>
      <c r="D265" s="17" t="s">
        <v>265</v>
      </c>
      <c r="E265" s="18" t="s">
        <v>156</v>
      </c>
    </row>
    <row r="266" customFormat="false" ht="15" hidden="false" customHeight="true" outlineLevel="0" collapsed="false">
      <c r="A266" s="4" t="s">
        <v>154</v>
      </c>
      <c r="B266" s="4" t="s">
        <v>155</v>
      </c>
      <c r="C266" s="6" t="n">
        <v>10.021</v>
      </c>
      <c r="D266" s="4" t="s">
        <v>270</v>
      </c>
      <c r="E266" s="18" t="s">
        <v>363</v>
      </c>
    </row>
    <row r="267" customFormat="false" ht="15" hidden="false" customHeight="true" outlineLevel="0" collapsed="false">
      <c r="A267" s="4" t="s">
        <v>154</v>
      </c>
      <c r="B267" s="4" t="s">
        <v>155</v>
      </c>
      <c r="C267" s="6" t="n">
        <v>10.029</v>
      </c>
      <c r="D267" s="4" t="s">
        <v>270</v>
      </c>
      <c r="E267" s="18" t="s">
        <v>281</v>
      </c>
    </row>
    <row r="268" customFormat="false" ht="15" hidden="false" customHeight="true" outlineLevel="0" collapsed="false">
      <c r="A268" s="4" t="s">
        <v>154</v>
      </c>
      <c r="B268" s="4" t="s">
        <v>155</v>
      </c>
      <c r="C268" s="6" t="n">
        <v>11.475</v>
      </c>
      <c r="D268" s="4" t="s">
        <v>266</v>
      </c>
      <c r="E268" s="18" t="s">
        <v>365</v>
      </c>
    </row>
    <row r="269" customFormat="false" ht="15" hidden="false" customHeight="true" outlineLevel="0" collapsed="false">
      <c r="A269" s="4" t="s">
        <v>154</v>
      </c>
      <c r="B269" s="4" t="s">
        <v>155</v>
      </c>
      <c r="C269" s="6" t="n">
        <v>13.428</v>
      </c>
      <c r="D269" s="4" t="s">
        <v>266</v>
      </c>
      <c r="E269" s="18" t="s">
        <v>282</v>
      </c>
    </row>
    <row r="270" customFormat="false" ht="15" hidden="false" customHeight="true" outlineLevel="0" collapsed="false">
      <c r="A270" s="4" t="s">
        <v>154</v>
      </c>
      <c r="B270" s="4" t="s">
        <v>155</v>
      </c>
      <c r="C270" s="6" t="n">
        <v>26.244</v>
      </c>
      <c r="D270" s="17" t="s">
        <v>265</v>
      </c>
      <c r="E270" s="18" t="s">
        <v>366</v>
      </c>
    </row>
    <row r="271" customFormat="false" ht="15" hidden="false" customHeight="true" outlineLevel="0" collapsed="false">
      <c r="A271" s="4" t="s">
        <v>154</v>
      </c>
      <c r="B271" s="4" t="s">
        <v>155</v>
      </c>
      <c r="C271" s="6" t="n">
        <v>29.065</v>
      </c>
      <c r="D271" s="4" t="s">
        <v>270</v>
      </c>
      <c r="E271" s="18" t="s">
        <v>57</v>
      </c>
    </row>
    <row r="272" customFormat="false" ht="15" hidden="false" customHeight="true" outlineLevel="0" collapsed="false">
      <c r="A272" s="4" t="s">
        <v>154</v>
      </c>
      <c r="B272" s="4" t="s">
        <v>155</v>
      </c>
      <c r="C272" s="6" t="n">
        <v>30.605</v>
      </c>
      <c r="D272" s="4" t="s">
        <v>266</v>
      </c>
      <c r="E272" s="18" t="s">
        <v>274</v>
      </c>
    </row>
    <row r="273" customFormat="false" ht="15" hidden="false" customHeight="true" outlineLevel="0" collapsed="false">
      <c r="A273" s="4" t="s">
        <v>154</v>
      </c>
      <c r="B273" s="4" t="s">
        <v>155</v>
      </c>
      <c r="C273" s="6" t="n">
        <v>39.319</v>
      </c>
      <c r="D273" s="17" t="s">
        <v>265</v>
      </c>
      <c r="E273" s="18" t="s">
        <v>367</v>
      </c>
    </row>
    <row r="274" customFormat="false" ht="15" hidden="false" customHeight="true" outlineLevel="0" collapsed="false">
      <c r="A274" s="4" t="s">
        <v>154</v>
      </c>
      <c r="B274" s="4" t="s">
        <v>155</v>
      </c>
      <c r="C274" s="6" t="n">
        <v>45.586</v>
      </c>
      <c r="D274" s="4" t="s">
        <v>270</v>
      </c>
      <c r="E274" s="18" t="s">
        <v>281</v>
      </c>
    </row>
    <row r="275" customFormat="false" ht="15" hidden="false" customHeight="true" outlineLevel="0" collapsed="false">
      <c r="A275" s="4" t="s">
        <v>154</v>
      </c>
      <c r="B275" s="4" t="s">
        <v>155</v>
      </c>
      <c r="C275" s="6" t="n">
        <v>46.814</v>
      </c>
      <c r="D275" s="4" t="s">
        <v>266</v>
      </c>
      <c r="E275" s="18" t="s">
        <v>282</v>
      </c>
    </row>
    <row r="276" customFormat="false" ht="15" hidden="false" customHeight="true" outlineLevel="0" collapsed="false">
      <c r="A276" s="4" t="s">
        <v>159</v>
      </c>
      <c r="B276" s="4" t="s">
        <v>155</v>
      </c>
      <c r="C276" s="6" t="n">
        <v>8.398</v>
      </c>
      <c r="D276" s="17" t="s">
        <v>265</v>
      </c>
      <c r="E276" s="18" t="s">
        <v>160</v>
      </c>
    </row>
    <row r="277" customFormat="false" ht="15" hidden="false" customHeight="true" outlineLevel="0" collapsed="false">
      <c r="A277" s="4" t="s">
        <v>159</v>
      </c>
      <c r="B277" s="4" t="s">
        <v>155</v>
      </c>
      <c r="C277" s="6" t="n">
        <v>10.05</v>
      </c>
      <c r="D277" s="4" t="s">
        <v>266</v>
      </c>
      <c r="E277" s="18" t="s">
        <v>368</v>
      </c>
    </row>
    <row r="278" customFormat="false" ht="15" hidden="false" customHeight="true" outlineLevel="0" collapsed="false">
      <c r="A278" s="4" t="s">
        <v>159</v>
      </c>
      <c r="B278" s="4" t="s">
        <v>155</v>
      </c>
      <c r="C278" s="6" t="n">
        <v>10.237</v>
      </c>
      <c r="D278" s="4" t="s">
        <v>270</v>
      </c>
      <c r="E278" s="18" t="s">
        <v>362</v>
      </c>
    </row>
    <row r="279" customFormat="false" ht="15" hidden="false" customHeight="true" outlineLevel="0" collapsed="false">
      <c r="A279" s="4" t="s">
        <v>159</v>
      </c>
      <c r="B279" s="4" t="s">
        <v>155</v>
      </c>
      <c r="C279" s="6" t="n">
        <v>10.442</v>
      </c>
      <c r="D279" s="4" t="s">
        <v>270</v>
      </c>
      <c r="E279" s="18" t="s">
        <v>57</v>
      </c>
    </row>
    <row r="280" customFormat="false" ht="15" hidden="false" customHeight="true" outlineLevel="0" collapsed="false">
      <c r="A280" s="4" t="s">
        <v>159</v>
      </c>
      <c r="B280" s="4" t="s">
        <v>155</v>
      </c>
      <c r="C280" s="6" t="n">
        <v>12.86</v>
      </c>
      <c r="D280" s="4" t="s">
        <v>266</v>
      </c>
      <c r="E280" s="18" t="s">
        <v>369</v>
      </c>
    </row>
    <row r="281" customFormat="false" ht="15" hidden="false" customHeight="true" outlineLevel="0" collapsed="false">
      <c r="A281" s="4" t="s">
        <v>159</v>
      </c>
      <c r="B281" s="4" t="s">
        <v>155</v>
      </c>
      <c r="C281" s="6" t="n">
        <v>14.84</v>
      </c>
      <c r="D281" s="4" t="s">
        <v>266</v>
      </c>
      <c r="E281" s="18" t="s">
        <v>274</v>
      </c>
    </row>
    <row r="282" customFormat="false" ht="15" hidden="false" customHeight="true" outlineLevel="0" collapsed="false">
      <c r="A282" s="4" t="s">
        <v>163</v>
      </c>
      <c r="B282" s="4" t="s">
        <v>155</v>
      </c>
      <c r="C282" s="6" t="n">
        <v>6.298</v>
      </c>
      <c r="D282" s="4" t="s">
        <v>266</v>
      </c>
      <c r="E282" s="18" t="s">
        <v>370</v>
      </c>
    </row>
    <row r="283" customFormat="false" ht="15" hidden="false" customHeight="true" outlineLevel="0" collapsed="false">
      <c r="A283" s="4" t="s">
        <v>163</v>
      </c>
      <c r="B283" s="4" t="s">
        <v>155</v>
      </c>
      <c r="C283" s="6" t="n">
        <v>12.818</v>
      </c>
      <c r="D283" s="17" t="s">
        <v>265</v>
      </c>
      <c r="E283" s="18" t="s">
        <v>164</v>
      </c>
    </row>
    <row r="284" customFormat="false" ht="15" hidden="false" customHeight="true" outlineLevel="0" collapsed="false">
      <c r="A284" s="4" t="s">
        <v>163</v>
      </c>
      <c r="B284" s="4" t="s">
        <v>155</v>
      </c>
      <c r="C284" s="6" t="n">
        <v>14.368</v>
      </c>
      <c r="D284" s="4" t="s">
        <v>270</v>
      </c>
      <c r="E284" s="18" t="s">
        <v>303</v>
      </c>
    </row>
    <row r="285" customFormat="false" ht="15" hidden="false" customHeight="true" outlineLevel="0" collapsed="false">
      <c r="A285" s="4" t="s">
        <v>163</v>
      </c>
      <c r="B285" s="4" t="s">
        <v>155</v>
      </c>
      <c r="C285" s="6" t="n">
        <v>16.319</v>
      </c>
      <c r="D285" s="4" t="s">
        <v>266</v>
      </c>
      <c r="E285" s="18" t="s">
        <v>304</v>
      </c>
    </row>
    <row r="286" customFormat="false" ht="15" hidden="false" customHeight="true" outlineLevel="0" collapsed="false">
      <c r="A286" s="4" t="s">
        <v>163</v>
      </c>
      <c r="B286" s="4" t="s">
        <v>155</v>
      </c>
      <c r="C286" s="6" t="n">
        <v>25.64</v>
      </c>
      <c r="D286" s="4" t="s">
        <v>266</v>
      </c>
      <c r="E286" s="18" t="s">
        <v>305</v>
      </c>
    </row>
    <row r="287" customFormat="false" ht="15" hidden="false" customHeight="true" outlineLevel="0" collapsed="false">
      <c r="A287" s="4" t="s">
        <v>163</v>
      </c>
      <c r="B287" s="4" t="s">
        <v>155</v>
      </c>
      <c r="C287" s="6" t="n">
        <v>38.364</v>
      </c>
      <c r="D287" s="17" t="s">
        <v>265</v>
      </c>
      <c r="E287" s="18" t="s">
        <v>371</v>
      </c>
    </row>
    <row r="288" customFormat="false" ht="15" hidden="false" customHeight="true" outlineLevel="0" collapsed="false">
      <c r="A288" s="4" t="s">
        <v>163</v>
      </c>
      <c r="B288" s="4" t="s">
        <v>155</v>
      </c>
      <c r="C288" s="6" t="n">
        <v>40.941</v>
      </c>
      <c r="D288" s="4" t="s">
        <v>270</v>
      </c>
      <c r="E288" s="18" t="s">
        <v>372</v>
      </c>
    </row>
    <row r="289" customFormat="false" ht="15" hidden="false" customHeight="true" outlineLevel="0" collapsed="false">
      <c r="A289" s="4" t="s">
        <v>163</v>
      </c>
      <c r="B289" s="4" t="s">
        <v>155</v>
      </c>
      <c r="C289" s="6" t="n">
        <v>40.995</v>
      </c>
      <c r="D289" s="4" t="s">
        <v>266</v>
      </c>
      <c r="E289" s="18" t="s">
        <v>274</v>
      </c>
    </row>
    <row r="290" customFormat="false" ht="15" hidden="false" customHeight="true" outlineLevel="0" collapsed="false">
      <c r="A290" s="4" t="s">
        <v>163</v>
      </c>
      <c r="B290" s="4" t="s">
        <v>155</v>
      </c>
      <c r="C290" s="6" t="n">
        <v>46.989</v>
      </c>
      <c r="D290" s="4" t="s">
        <v>266</v>
      </c>
      <c r="E290" s="18" t="s">
        <v>278</v>
      </c>
    </row>
    <row r="291" customFormat="false" ht="15" hidden="false" customHeight="true" outlineLevel="0" collapsed="false">
      <c r="A291" s="4" t="s">
        <v>163</v>
      </c>
      <c r="B291" s="4" t="s">
        <v>155</v>
      </c>
      <c r="C291" s="6" t="n">
        <v>48.747</v>
      </c>
      <c r="D291" s="17" t="s">
        <v>265</v>
      </c>
      <c r="E291" s="18" t="s">
        <v>373</v>
      </c>
    </row>
    <row r="292" customFormat="false" ht="15" hidden="false" customHeight="true" outlineLevel="0" collapsed="false">
      <c r="A292" s="4" t="s">
        <v>163</v>
      </c>
      <c r="B292" s="4" t="s">
        <v>155</v>
      </c>
      <c r="C292" s="6" t="n">
        <v>50.904</v>
      </c>
      <c r="D292" s="4" t="s">
        <v>266</v>
      </c>
      <c r="E292" s="18" t="s">
        <v>374</v>
      </c>
    </row>
    <row r="293" customFormat="false" ht="15" hidden="false" customHeight="true" outlineLevel="0" collapsed="false">
      <c r="A293" s="4" t="s">
        <v>163</v>
      </c>
      <c r="B293" s="4" t="s">
        <v>155</v>
      </c>
      <c r="C293" s="6" t="n">
        <v>56.547</v>
      </c>
      <c r="D293" s="4" t="s">
        <v>266</v>
      </c>
      <c r="E293" s="18" t="s">
        <v>283</v>
      </c>
    </row>
    <row r="294" customFormat="false" ht="15" hidden="false" customHeight="true" outlineLevel="0" collapsed="false">
      <c r="A294" s="4" t="s">
        <v>167</v>
      </c>
      <c r="B294" s="4" t="s">
        <v>155</v>
      </c>
      <c r="C294" s="6" t="n">
        <v>9.59</v>
      </c>
      <c r="D294" s="17" t="s">
        <v>265</v>
      </c>
      <c r="E294" s="18" t="s">
        <v>168</v>
      </c>
    </row>
    <row r="295" customFormat="false" ht="15" hidden="false" customHeight="true" outlineLevel="0" collapsed="false">
      <c r="A295" s="4" t="s">
        <v>167</v>
      </c>
      <c r="B295" s="4" t="s">
        <v>155</v>
      </c>
      <c r="C295" s="6" t="n">
        <v>10.813</v>
      </c>
      <c r="D295" s="4" t="s">
        <v>266</v>
      </c>
      <c r="E295" s="18" t="s">
        <v>375</v>
      </c>
    </row>
    <row r="296" customFormat="false" ht="15" hidden="false" customHeight="true" outlineLevel="0" collapsed="false">
      <c r="A296" s="4" t="s">
        <v>170</v>
      </c>
      <c r="B296" s="4" t="s">
        <v>155</v>
      </c>
      <c r="C296" s="6" t="n">
        <v>5.191</v>
      </c>
      <c r="D296" s="17" t="s">
        <v>265</v>
      </c>
      <c r="E296" s="18" t="s">
        <v>171</v>
      </c>
    </row>
    <row r="297" customFormat="false" ht="15" hidden="false" customHeight="true" outlineLevel="0" collapsed="false">
      <c r="A297" s="4" t="s">
        <v>170</v>
      </c>
      <c r="B297" s="4" t="s">
        <v>155</v>
      </c>
      <c r="C297" s="6" t="n">
        <v>7.253</v>
      </c>
      <c r="D297" s="4" t="s">
        <v>266</v>
      </c>
      <c r="E297" s="18" t="s">
        <v>376</v>
      </c>
    </row>
    <row r="298" customFormat="false" ht="15" hidden="false" customHeight="true" outlineLevel="0" collapsed="false">
      <c r="A298" s="4" t="s">
        <v>170</v>
      </c>
      <c r="B298" s="4" t="s">
        <v>155</v>
      </c>
      <c r="C298" s="6" t="n">
        <v>8.548</v>
      </c>
      <c r="D298" s="17" t="s">
        <v>265</v>
      </c>
      <c r="E298" s="18" t="s">
        <v>377</v>
      </c>
    </row>
    <row r="299" customFormat="false" ht="15" hidden="false" customHeight="true" outlineLevel="0" collapsed="false">
      <c r="A299" s="4" t="s">
        <v>170</v>
      </c>
      <c r="B299" s="4" t="s">
        <v>155</v>
      </c>
      <c r="C299" s="6" t="n">
        <v>9.691</v>
      </c>
      <c r="D299" s="4" t="s">
        <v>266</v>
      </c>
      <c r="E299" s="18" t="s">
        <v>378</v>
      </c>
    </row>
    <row r="300" customFormat="false" ht="15" hidden="false" customHeight="true" outlineLevel="0" collapsed="false">
      <c r="A300" s="4" t="s">
        <v>170</v>
      </c>
      <c r="B300" s="4" t="s">
        <v>155</v>
      </c>
      <c r="C300" s="6" t="n">
        <v>13.739</v>
      </c>
      <c r="D300" s="17" t="s">
        <v>265</v>
      </c>
      <c r="E300" s="18" t="s">
        <v>379</v>
      </c>
    </row>
    <row r="301" customFormat="false" ht="15" hidden="false" customHeight="true" outlineLevel="0" collapsed="false">
      <c r="A301" s="4" t="s">
        <v>170</v>
      </c>
      <c r="B301" s="4" t="s">
        <v>155</v>
      </c>
      <c r="C301" s="6" t="n">
        <v>14.015</v>
      </c>
      <c r="D301" s="4" t="s">
        <v>266</v>
      </c>
      <c r="E301" s="18" t="s">
        <v>380</v>
      </c>
    </row>
    <row r="302" customFormat="false" ht="15" hidden="false" customHeight="true" outlineLevel="0" collapsed="false">
      <c r="A302" s="4" t="s">
        <v>170</v>
      </c>
      <c r="B302" s="4" t="s">
        <v>155</v>
      </c>
      <c r="C302" s="6" t="n">
        <v>14.8</v>
      </c>
      <c r="D302" s="4" t="s">
        <v>266</v>
      </c>
      <c r="E302" s="18" t="s">
        <v>380</v>
      </c>
    </row>
    <row r="303" customFormat="false" ht="15" hidden="false" customHeight="true" outlineLevel="0" collapsed="false">
      <c r="A303" s="4" t="s">
        <v>170</v>
      </c>
      <c r="B303" s="4" t="s">
        <v>155</v>
      </c>
      <c r="C303" s="6" t="n">
        <v>17.764</v>
      </c>
      <c r="D303" s="4" t="s">
        <v>266</v>
      </c>
      <c r="E303" s="18" t="s">
        <v>381</v>
      </c>
    </row>
    <row r="304" customFormat="false" ht="15" hidden="false" customHeight="true" outlineLevel="0" collapsed="false">
      <c r="A304" s="4" t="s">
        <v>174</v>
      </c>
      <c r="B304" s="4" t="s">
        <v>155</v>
      </c>
      <c r="C304" s="6" t="n">
        <v>8.824</v>
      </c>
      <c r="D304" s="17" t="s">
        <v>265</v>
      </c>
      <c r="E304" s="18" t="s">
        <v>175</v>
      </c>
    </row>
    <row r="305" customFormat="false" ht="15" hidden="false" customHeight="true" outlineLevel="0" collapsed="false">
      <c r="A305" s="4" t="s">
        <v>174</v>
      </c>
      <c r="B305" s="4" t="s">
        <v>155</v>
      </c>
      <c r="C305" s="6" t="n">
        <v>10.131</v>
      </c>
      <c r="D305" s="4" t="s">
        <v>270</v>
      </c>
      <c r="E305" s="18" t="s">
        <v>382</v>
      </c>
    </row>
    <row r="306" customFormat="false" ht="15" hidden="false" customHeight="true" outlineLevel="0" collapsed="false">
      <c r="A306" s="4" t="s">
        <v>174</v>
      </c>
      <c r="B306" s="4" t="s">
        <v>155</v>
      </c>
      <c r="C306" s="6" t="n">
        <v>12.182</v>
      </c>
      <c r="D306" s="4" t="s">
        <v>266</v>
      </c>
      <c r="E306" s="18" t="s">
        <v>272</v>
      </c>
    </row>
    <row r="307" customFormat="false" ht="15" hidden="false" customHeight="true" outlineLevel="0" collapsed="false">
      <c r="A307" s="4" t="s">
        <v>174</v>
      </c>
      <c r="B307" s="4" t="s">
        <v>155</v>
      </c>
      <c r="C307" s="6" t="n">
        <v>21.676</v>
      </c>
      <c r="D307" s="4" t="s">
        <v>266</v>
      </c>
      <c r="E307" s="18" t="s">
        <v>383</v>
      </c>
    </row>
    <row r="308" customFormat="false" ht="15" hidden="false" customHeight="true" outlineLevel="0" collapsed="false">
      <c r="A308" s="4" t="s">
        <v>174</v>
      </c>
      <c r="B308" s="4" t="s">
        <v>155</v>
      </c>
      <c r="C308" s="6" t="n">
        <v>31.29</v>
      </c>
      <c r="D308" s="17" t="s">
        <v>265</v>
      </c>
      <c r="E308" s="18" t="s">
        <v>384</v>
      </c>
    </row>
    <row r="309" customFormat="false" ht="15" hidden="false" customHeight="true" outlineLevel="0" collapsed="false">
      <c r="A309" s="4" t="s">
        <v>174</v>
      </c>
      <c r="B309" s="4" t="s">
        <v>155</v>
      </c>
      <c r="C309" s="6" t="n">
        <v>32.313</v>
      </c>
      <c r="D309" s="4" t="s">
        <v>270</v>
      </c>
      <c r="E309" s="18" t="s">
        <v>313</v>
      </c>
    </row>
    <row r="310" customFormat="false" ht="15" hidden="false" customHeight="true" outlineLevel="0" collapsed="false">
      <c r="A310" s="4" t="s">
        <v>174</v>
      </c>
      <c r="B310" s="4" t="s">
        <v>155</v>
      </c>
      <c r="C310" s="6" t="n">
        <v>32.349</v>
      </c>
      <c r="D310" s="4" t="s">
        <v>266</v>
      </c>
      <c r="E310" s="18" t="s">
        <v>278</v>
      </c>
    </row>
    <row r="311" customFormat="false" ht="15" hidden="false" customHeight="true" outlineLevel="0" collapsed="false">
      <c r="A311" s="4" t="s">
        <v>174</v>
      </c>
      <c r="B311" s="4" t="s">
        <v>155</v>
      </c>
      <c r="C311" s="6" t="n">
        <v>40.528</v>
      </c>
      <c r="D311" s="4" t="s">
        <v>266</v>
      </c>
      <c r="E311" s="18" t="s">
        <v>283</v>
      </c>
    </row>
    <row r="312" customFormat="false" ht="15" hidden="false" customHeight="true" outlineLevel="0" collapsed="false">
      <c r="A312" s="4" t="s">
        <v>179</v>
      </c>
      <c r="B312" s="4" t="s">
        <v>155</v>
      </c>
      <c r="C312" s="6" t="n">
        <v>4.852</v>
      </c>
      <c r="D312" s="17" t="s">
        <v>265</v>
      </c>
      <c r="E312" s="18" t="s">
        <v>180</v>
      </c>
    </row>
    <row r="313" customFormat="false" ht="15" hidden="false" customHeight="true" outlineLevel="0" collapsed="false">
      <c r="A313" s="4" t="s">
        <v>179</v>
      </c>
      <c r="B313" s="4" t="s">
        <v>155</v>
      </c>
      <c r="C313" s="6" t="n">
        <v>6.03</v>
      </c>
      <c r="D313" s="4" t="s">
        <v>266</v>
      </c>
      <c r="E313" s="18" t="s">
        <v>385</v>
      </c>
    </row>
    <row r="314" customFormat="false" ht="15" hidden="false" customHeight="true" outlineLevel="0" collapsed="false">
      <c r="A314" s="4" t="s">
        <v>179</v>
      </c>
      <c r="B314" s="4" t="s">
        <v>155</v>
      </c>
      <c r="C314" s="6" t="n">
        <v>13.278</v>
      </c>
      <c r="D314" s="4" t="s">
        <v>266</v>
      </c>
      <c r="E314" s="18" t="s">
        <v>386</v>
      </c>
    </row>
    <row r="315" customFormat="false" ht="15" hidden="false" customHeight="true" outlineLevel="0" collapsed="false">
      <c r="A315" s="4" t="s">
        <v>179</v>
      </c>
      <c r="B315" s="4" t="s">
        <v>155</v>
      </c>
      <c r="C315" s="6" t="n">
        <v>18.397</v>
      </c>
      <c r="D315" s="17" t="s">
        <v>265</v>
      </c>
      <c r="E315" s="18" t="s">
        <v>314</v>
      </c>
    </row>
    <row r="316" customFormat="false" ht="15" hidden="false" customHeight="true" outlineLevel="0" collapsed="false">
      <c r="A316" s="4" t="s">
        <v>179</v>
      </c>
      <c r="B316" s="4" t="s">
        <v>155</v>
      </c>
      <c r="C316" s="6" t="n">
        <v>19.671</v>
      </c>
      <c r="D316" s="4" t="s">
        <v>270</v>
      </c>
      <c r="E316" s="18" t="s">
        <v>315</v>
      </c>
    </row>
    <row r="317" customFormat="false" ht="15" hidden="false" customHeight="true" outlineLevel="0" collapsed="false">
      <c r="A317" s="4" t="s">
        <v>179</v>
      </c>
      <c r="B317" s="4" t="s">
        <v>155</v>
      </c>
      <c r="C317" s="6" t="n">
        <v>19.72</v>
      </c>
      <c r="D317" s="4" t="s">
        <v>266</v>
      </c>
      <c r="E317" s="18" t="s">
        <v>347</v>
      </c>
    </row>
    <row r="318" customFormat="false" ht="15" hidden="false" customHeight="true" outlineLevel="0" collapsed="false">
      <c r="A318" s="4" t="s">
        <v>179</v>
      </c>
      <c r="B318" s="4" t="s">
        <v>155</v>
      </c>
      <c r="C318" s="6" t="n">
        <v>22.401</v>
      </c>
      <c r="D318" s="4" t="s">
        <v>266</v>
      </c>
      <c r="E318" s="18" t="s">
        <v>289</v>
      </c>
    </row>
    <row r="319" customFormat="false" ht="15" hidden="false" customHeight="true" outlineLevel="0" collapsed="false">
      <c r="A319" s="4" t="s">
        <v>179</v>
      </c>
      <c r="B319" s="4" t="s">
        <v>155</v>
      </c>
      <c r="C319" s="6" t="n">
        <v>29.048</v>
      </c>
      <c r="D319" s="4" t="s">
        <v>266</v>
      </c>
      <c r="E319" s="18" t="s">
        <v>290</v>
      </c>
    </row>
    <row r="320" customFormat="false" ht="15" hidden="false" customHeight="true" outlineLevel="0" collapsed="false">
      <c r="A320" s="4" t="s">
        <v>179</v>
      </c>
      <c r="B320" s="4" t="s">
        <v>155</v>
      </c>
      <c r="C320" s="6" t="n">
        <v>37.096</v>
      </c>
      <c r="D320" s="17" t="s">
        <v>265</v>
      </c>
      <c r="E320" s="18" t="s">
        <v>86</v>
      </c>
    </row>
    <row r="321" customFormat="false" ht="15" hidden="false" customHeight="true" outlineLevel="0" collapsed="false">
      <c r="A321" s="4" t="s">
        <v>179</v>
      </c>
      <c r="B321" s="4" t="s">
        <v>155</v>
      </c>
      <c r="C321" s="6" t="n">
        <v>37.102</v>
      </c>
      <c r="D321" s="4" t="s">
        <v>270</v>
      </c>
      <c r="E321" s="18" t="s">
        <v>57</v>
      </c>
    </row>
    <row r="322" customFormat="false" ht="15" hidden="false" customHeight="true" outlineLevel="0" collapsed="false">
      <c r="A322" s="4" t="s">
        <v>179</v>
      </c>
      <c r="B322" s="4" t="s">
        <v>155</v>
      </c>
      <c r="C322" s="6" t="n">
        <v>37.157</v>
      </c>
      <c r="D322" s="4" t="s">
        <v>266</v>
      </c>
      <c r="E322" s="18" t="s">
        <v>274</v>
      </c>
    </row>
    <row r="323" customFormat="false" ht="15" hidden="false" customHeight="true" outlineLevel="0" collapsed="false">
      <c r="A323" s="4" t="s">
        <v>179</v>
      </c>
      <c r="B323" s="4" t="s">
        <v>155</v>
      </c>
      <c r="C323" s="6" t="n">
        <v>42.942</v>
      </c>
      <c r="D323" s="4" t="s">
        <v>266</v>
      </c>
      <c r="E323" s="18" t="s">
        <v>295</v>
      </c>
    </row>
    <row r="324" customFormat="false" ht="15" hidden="false" customHeight="true" outlineLevel="0" collapsed="false">
      <c r="A324" s="4" t="s">
        <v>179</v>
      </c>
      <c r="B324" s="4" t="s">
        <v>155</v>
      </c>
      <c r="C324" s="6" t="n">
        <v>50.078</v>
      </c>
      <c r="D324" s="17" t="s">
        <v>265</v>
      </c>
      <c r="E324" s="18" t="s">
        <v>326</v>
      </c>
    </row>
    <row r="325" customFormat="false" ht="15" hidden="false" customHeight="true" outlineLevel="0" collapsed="false">
      <c r="A325" s="4" t="s">
        <v>179</v>
      </c>
      <c r="B325" s="4" t="s">
        <v>155</v>
      </c>
      <c r="C325" s="6" t="n">
        <v>50.082</v>
      </c>
      <c r="D325" s="4" t="s">
        <v>270</v>
      </c>
      <c r="E325" s="18" t="s">
        <v>277</v>
      </c>
    </row>
    <row r="326" customFormat="false" ht="15" hidden="false" customHeight="true" outlineLevel="0" collapsed="false">
      <c r="A326" s="4" t="s">
        <v>179</v>
      </c>
      <c r="B326" s="4" t="s">
        <v>155</v>
      </c>
      <c r="C326" s="6" t="n">
        <v>50.14</v>
      </c>
      <c r="D326" s="4" t="s">
        <v>266</v>
      </c>
      <c r="E326" s="18" t="s">
        <v>278</v>
      </c>
    </row>
    <row r="327" customFormat="false" ht="15" hidden="false" customHeight="true" outlineLevel="0" collapsed="false">
      <c r="A327" s="4" t="s">
        <v>179</v>
      </c>
      <c r="B327" s="4" t="s">
        <v>155</v>
      </c>
      <c r="C327" s="6" t="n">
        <v>53.739</v>
      </c>
      <c r="D327" s="4" t="s">
        <v>266</v>
      </c>
      <c r="E327" s="18" t="s">
        <v>279</v>
      </c>
    </row>
    <row r="328" customFormat="false" ht="15" hidden="false" customHeight="true" outlineLevel="0" collapsed="false">
      <c r="A328" s="4" t="s">
        <v>179</v>
      </c>
      <c r="B328" s="4" t="s">
        <v>155</v>
      </c>
      <c r="C328" s="6" t="n">
        <v>57.989</v>
      </c>
      <c r="D328" s="17" t="s">
        <v>265</v>
      </c>
      <c r="E328" s="18" t="s">
        <v>297</v>
      </c>
    </row>
    <row r="329" customFormat="false" ht="15" hidden="false" customHeight="true" outlineLevel="0" collapsed="false">
      <c r="A329" s="4" t="s">
        <v>179</v>
      </c>
      <c r="B329" s="4" t="s">
        <v>155</v>
      </c>
      <c r="C329" s="6" t="n">
        <v>57.993</v>
      </c>
      <c r="D329" s="4" t="s">
        <v>270</v>
      </c>
      <c r="E329" s="18" t="s">
        <v>281</v>
      </c>
    </row>
    <row r="330" customFormat="false" ht="15" hidden="false" customHeight="true" outlineLevel="0" collapsed="false">
      <c r="A330" s="4" t="s">
        <v>179</v>
      </c>
      <c r="B330" s="4" t="s">
        <v>155</v>
      </c>
      <c r="C330" s="6" t="n">
        <v>58.003</v>
      </c>
      <c r="D330" s="4" t="s">
        <v>266</v>
      </c>
      <c r="E330" s="18" t="s">
        <v>282</v>
      </c>
    </row>
    <row r="331" customFormat="false" ht="15" hidden="false" customHeight="true" outlineLevel="0" collapsed="false">
      <c r="A331" s="4" t="s">
        <v>179</v>
      </c>
      <c r="B331" s="4" t="s">
        <v>155</v>
      </c>
      <c r="C331" s="6" t="n">
        <v>63.329</v>
      </c>
      <c r="D331" s="4" t="s">
        <v>266</v>
      </c>
      <c r="E331" s="18" t="s">
        <v>283</v>
      </c>
    </row>
    <row r="332" customFormat="false" ht="15" hidden="false" customHeight="true" outlineLevel="0" collapsed="false">
      <c r="A332" s="4" t="s">
        <v>183</v>
      </c>
      <c r="B332" s="4" t="s">
        <v>155</v>
      </c>
      <c r="C332" s="6" t="n">
        <v>4.511</v>
      </c>
      <c r="D332" s="17" t="s">
        <v>265</v>
      </c>
      <c r="E332" s="18" t="s">
        <v>184</v>
      </c>
    </row>
    <row r="333" customFormat="false" ht="15" hidden="false" customHeight="true" outlineLevel="0" collapsed="false">
      <c r="A333" s="4" t="s">
        <v>183</v>
      </c>
      <c r="B333" s="4" t="s">
        <v>155</v>
      </c>
      <c r="C333" s="6" t="n">
        <v>4.519</v>
      </c>
      <c r="D333" s="4" t="s">
        <v>270</v>
      </c>
      <c r="E333" s="18" t="s">
        <v>284</v>
      </c>
    </row>
    <row r="334" customFormat="false" ht="15" hidden="false" customHeight="true" outlineLevel="0" collapsed="false">
      <c r="A334" s="4" t="s">
        <v>183</v>
      </c>
      <c r="B334" s="4" t="s">
        <v>155</v>
      </c>
      <c r="C334" s="6" t="n">
        <v>4.561</v>
      </c>
      <c r="D334" s="4" t="s">
        <v>266</v>
      </c>
      <c r="E334" s="18" t="s">
        <v>285</v>
      </c>
    </row>
    <row r="335" customFormat="false" ht="15" hidden="false" customHeight="true" outlineLevel="0" collapsed="false">
      <c r="A335" s="4" t="s">
        <v>183</v>
      </c>
      <c r="B335" s="4" t="s">
        <v>155</v>
      </c>
      <c r="C335" s="6" t="n">
        <v>22.638</v>
      </c>
      <c r="D335" s="4" t="s">
        <v>266</v>
      </c>
      <c r="E335" s="18" t="s">
        <v>387</v>
      </c>
    </row>
    <row r="336" customFormat="false" ht="15" hidden="false" customHeight="true" outlineLevel="0" collapsed="false">
      <c r="A336" s="4" t="s">
        <v>183</v>
      </c>
      <c r="B336" s="4" t="s">
        <v>155</v>
      </c>
      <c r="C336" s="6" t="n">
        <v>28.379</v>
      </c>
      <c r="D336" s="17" t="s">
        <v>265</v>
      </c>
      <c r="E336" s="18" t="s">
        <v>326</v>
      </c>
    </row>
    <row r="337" customFormat="false" ht="15" hidden="false" customHeight="true" outlineLevel="0" collapsed="false">
      <c r="A337" s="4" t="s">
        <v>183</v>
      </c>
      <c r="B337" s="4" t="s">
        <v>155</v>
      </c>
      <c r="C337" s="6" t="n">
        <v>28.394</v>
      </c>
      <c r="D337" s="4" t="s">
        <v>270</v>
      </c>
      <c r="E337" s="18" t="s">
        <v>359</v>
      </c>
    </row>
    <row r="338" customFormat="false" ht="15" hidden="false" customHeight="true" outlineLevel="0" collapsed="false">
      <c r="A338" s="4" t="s">
        <v>183</v>
      </c>
      <c r="B338" s="4" t="s">
        <v>155</v>
      </c>
      <c r="C338" s="6" t="n">
        <v>29.124</v>
      </c>
      <c r="D338" s="4" t="s">
        <v>266</v>
      </c>
      <c r="E338" s="18" t="s">
        <v>289</v>
      </c>
    </row>
    <row r="339" customFormat="false" ht="15" hidden="false" customHeight="true" outlineLevel="0" collapsed="false">
      <c r="A339" s="4" t="s">
        <v>183</v>
      </c>
      <c r="B339" s="4" t="s">
        <v>155</v>
      </c>
      <c r="C339" s="6" t="n">
        <v>34.017</v>
      </c>
      <c r="D339" s="4" t="s">
        <v>266</v>
      </c>
      <c r="E339" s="18" t="s">
        <v>290</v>
      </c>
    </row>
    <row r="340" customFormat="false" ht="15" hidden="false" customHeight="true" outlineLevel="0" collapsed="false">
      <c r="A340" s="4" t="s">
        <v>183</v>
      </c>
      <c r="B340" s="4" t="s">
        <v>155</v>
      </c>
      <c r="C340" s="6" t="n">
        <v>41.616</v>
      </c>
      <c r="D340" s="17" t="s">
        <v>265</v>
      </c>
      <c r="E340" s="18" t="s">
        <v>86</v>
      </c>
    </row>
    <row r="341" customFormat="false" ht="15" hidden="false" customHeight="true" outlineLevel="0" collapsed="false">
      <c r="A341" s="4" t="s">
        <v>183</v>
      </c>
      <c r="B341" s="4" t="s">
        <v>155</v>
      </c>
      <c r="C341" s="6" t="n">
        <v>41.621</v>
      </c>
      <c r="D341" s="4" t="s">
        <v>270</v>
      </c>
      <c r="E341" s="18" t="s">
        <v>57</v>
      </c>
    </row>
    <row r="342" customFormat="false" ht="15" hidden="false" customHeight="true" outlineLevel="0" collapsed="false">
      <c r="A342" s="4" t="s">
        <v>183</v>
      </c>
      <c r="B342" s="4" t="s">
        <v>155</v>
      </c>
      <c r="C342" s="6" t="n">
        <v>41.68</v>
      </c>
      <c r="D342" s="4" t="s">
        <v>266</v>
      </c>
      <c r="E342" s="18" t="s">
        <v>274</v>
      </c>
    </row>
    <row r="343" customFormat="false" ht="15" hidden="false" customHeight="true" outlineLevel="0" collapsed="false">
      <c r="A343" s="4" t="s">
        <v>183</v>
      </c>
      <c r="B343" s="4" t="s">
        <v>155</v>
      </c>
      <c r="C343" s="6" t="n">
        <v>46.533</v>
      </c>
      <c r="D343" s="4" t="s">
        <v>266</v>
      </c>
      <c r="E343" s="18" t="s">
        <v>295</v>
      </c>
    </row>
    <row r="344" customFormat="false" ht="15" hidden="false" customHeight="true" outlineLevel="0" collapsed="false">
      <c r="A344" s="4" t="s">
        <v>183</v>
      </c>
      <c r="B344" s="4" t="s">
        <v>155</v>
      </c>
      <c r="C344" s="6" t="n">
        <v>55.166</v>
      </c>
      <c r="D344" s="17" t="s">
        <v>265</v>
      </c>
      <c r="E344" s="18" t="s">
        <v>388</v>
      </c>
    </row>
    <row r="345" customFormat="false" ht="15" hidden="false" customHeight="true" outlineLevel="0" collapsed="false">
      <c r="A345" s="4" t="s">
        <v>183</v>
      </c>
      <c r="B345" s="4" t="s">
        <v>155</v>
      </c>
      <c r="C345" s="6" t="n">
        <v>55.186</v>
      </c>
      <c r="D345" s="4" t="s">
        <v>270</v>
      </c>
      <c r="E345" s="18" t="s">
        <v>313</v>
      </c>
    </row>
    <row r="346" customFormat="false" ht="15" hidden="false" customHeight="true" outlineLevel="0" collapsed="false">
      <c r="A346" s="4" t="s">
        <v>183</v>
      </c>
      <c r="B346" s="4" t="s">
        <v>155</v>
      </c>
      <c r="C346" s="6" t="n">
        <v>55.208</v>
      </c>
      <c r="D346" s="4" t="s">
        <v>266</v>
      </c>
      <c r="E346" s="18" t="s">
        <v>278</v>
      </c>
    </row>
    <row r="347" customFormat="false" ht="15" hidden="false" customHeight="true" outlineLevel="0" collapsed="false">
      <c r="A347" s="4" t="s">
        <v>183</v>
      </c>
      <c r="B347" s="4" t="s">
        <v>155</v>
      </c>
      <c r="C347" s="6" t="n">
        <v>63.642</v>
      </c>
      <c r="D347" s="4" t="s">
        <v>266</v>
      </c>
      <c r="E347" s="18" t="s">
        <v>283</v>
      </c>
    </row>
    <row r="348" customFormat="false" ht="15" hidden="false" customHeight="true" outlineLevel="0" collapsed="false">
      <c r="A348" s="4" t="s">
        <v>188</v>
      </c>
      <c r="B348" s="4" t="s">
        <v>155</v>
      </c>
      <c r="C348" s="6" t="n">
        <v>8.447</v>
      </c>
      <c r="D348" s="4" t="s">
        <v>266</v>
      </c>
      <c r="E348" s="18" t="s">
        <v>389</v>
      </c>
    </row>
    <row r="349" customFormat="false" ht="15" hidden="false" customHeight="true" outlineLevel="0" collapsed="false">
      <c r="A349" s="4" t="s">
        <v>188</v>
      </c>
      <c r="B349" s="4" t="s">
        <v>155</v>
      </c>
      <c r="C349" s="6" t="n">
        <v>17.81</v>
      </c>
      <c r="D349" s="17" t="s">
        <v>265</v>
      </c>
      <c r="E349" s="18" t="s">
        <v>190</v>
      </c>
    </row>
    <row r="350" customFormat="false" ht="15" hidden="false" customHeight="true" outlineLevel="0" collapsed="false">
      <c r="A350" s="4" t="s">
        <v>188</v>
      </c>
      <c r="B350" s="4" t="s">
        <v>155</v>
      </c>
      <c r="C350" s="6" t="n">
        <v>18.865</v>
      </c>
      <c r="D350" s="4" t="s">
        <v>270</v>
      </c>
      <c r="E350" s="18" t="s">
        <v>313</v>
      </c>
    </row>
    <row r="351" customFormat="false" ht="15" hidden="false" customHeight="true" outlineLevel="0" collapsed="false">
      <c r="A351" s="4" t="s">
        <v>188</v>
      </c>
      <c r="B351" s="4" t="s">
        <v>155</v>
      </c>
      <c r="C351" s="6" t="n">
        <v>36.543</v>
      </c>
      <c r="D351" s="17" t="s">
        <v>265</v>
      </c>
      <c r="E351" s="18" t="s">
        <v>390</v>
      </c>
    </row>
    <row r="352" customFormat="false" ht="15" hidden="false" customHeight="true" outlineLevel="0" collapsed="false">
      <c r="A352" s="4" t="s">
        <v>188</v>
      </c>
      <c r="B352" s="4" t="s">
        <v>155</v>
      </c>
      <c r="C352" s="6" t="n">
        <v>36.548</v>
      </c>
      <c r="D352" s="4" t="s">
        <v>270</v>
      </c>
      <c r="E352" s="18" t="s">
        <v>359</v>
      </c>
    </row>
    <row r="353" customFormat="false" ht="15" hidden="false" customHeight="true" outlineLevel="0" collapsed="false">
      <c r="A353" s="4" t="s">
        <v>188</v>
      </c>
      <c r="B353" s="4" t="s">
        <v>155</v>
      </c>
      <c r="C353" s="6" t="n">
        <v>37.289</v>
      </c>
      <c r="D353" s="4" t="s">
        <v>266</v>
      </c>
      <c r="E353" s="18" t="s">
        <v>289</v>
      </c>
    </row>
    <row r="354" customFormat="false" ht="15" hidden="false" customHeight="true" outlineLevel="0" collapsed="false">
      <c r="A354" s="4" t="s">
        <v>188</v>
      </c>
      <c r="B354" s="4" t="s">
        <v>155</v>
      </c>
      <c r="C354" s="6" t="n">
        <v>41.963</v>
      </c>
      <c r="D354" s="4" t="s">
        <v>266</v>
      </c>
      <c r="E354" s="18" t="s">
        <v>290</v>
      </c>
    </row>
    <row r="355" customFormat="false" ht="15" hidden="false" customHeight="true" outlineLevel="0" collapsed="false">
      <c r="A355" s="4" t="s">
        <v>188</v>
      </c>
      <c r="B355" s="4" t="s">
        <v>155</v>
      </c>
      <c r="C355" s="6" t="n">
        <v>49.575</v>
      </c>
      <c r="D355" s="17" t="s">
        <v>265</v>
      </c>
      <c r="E355" s="18" t="s">
        <v>306</v>
      </c>
    </row>
    <row r="356" customFormat="false" ht="15" hidden="false" customHeight="true" outlineLevel="0" collapsed="false">
      <c r="A356" s="4" t="s">
        <v>188</v>
      </c>
      <c r="B356" s="4" t="s">
        <v>155</v>
      </c>
      <c r="C356" s="6" t="n">
        <v>49.581</v>
      </c>
      <c r="D356" s="4" t="s">
        <v>270</v>
      </c>
      <c r="E356" s="18" t="s">
        <v>281</v>
      </c>
    </row>
    <row r="357" customFormat="false" ht="15" hidden="false" customHeight="true" outlineLevel="0" collapsed="false">
      <c r="A357" s="4" t="s">
        <v>188</v>
      </c>
      <c r="B357" s="4" t="s">
        <v>155</v>
      </c>
      <c r="C357" s="6" t="n">
        <v>49.621</v>
      </c>
      <c r="D357" s="4" t="s">
        <v>266</v>
      </c>
      <c r="E357" s="18" t="s">
        <v>282</v>
      </c>
    </row>
    <row r="358" customFormat="false" ht="15" hidden="false" customHeight="true" outlineLevel="0" collapsed="false">
      <c r="A358" s="4" t="s">
        <v>188</v>
      </c>
      <c r="B358" s="4" t="s">
        <v>155</v>
      </c>
      <c r="C358" s="6" t="n">
        <v>55.842</v>
      </c>
      <c r="D358" s="4" t="s">
        <v>266</v>
      </c>
      <c r="E358" s="18" t="s">
        <v>317</v>
      </c>
    </row>
    <row r="359" customFormat="false" ht="15" hidden="false" customHeight="true" outlineLevel="0" collapsed="false">
      <c r="A359" s="4" t="s">
        <v>188</v>
      </c>
      <c r="B359" s="4" t="s">
        <v>155</v>
      </c>
      <c r="C359" s="6" t="n">
        <v>59.189</v>
      </c>
      <c r="D359" s="17" t="s">
        <v>265</v>
      </c>
      <c r="E359" s="18" t="s">
        <v>391</v>
      </c>
    </row>
    <row r="360" customFormat="false" ht="15" hidden="false" customHeight="true" outlineLevel="0" collapsed="false">
      <c r="A360" s="4" t="s">
        <v>188</v>
      </c>
      <c r="B360" s="4" t="s">
        <v>155</v>
      </c>
      <c r="C360" s="6" t="n">
        <v>60.385</v>
      </c>
      <c r="D360" s="4" t="s">
        <v>270</v>
      </c>
      <c r="E360" s="18" t="s">
        <v>57</v>
      </c>
    </row>
    <row r="361" customFormat="false" ht="15" hidden="false" customHeight="true" outlineLevel="0" collapsed="false">
      <c r="A361" s="4" t="s">
        <v>188</v>
      </c>
      <c r="B361" s="4" t="s">
        <v>155</v>
      </c>
      <c r="C361" s="6" t="n">
        <v>60.415</v>
      </c>
      <c r="D361" s="4" t="s">
        <v>266</v>
      </c>
      <c r="E361" s="18" t="s">
        <v>274</v>
      </c>
    </row>
    <row r="362" customFormat="false" ht="15" hidden="false" customHeight="true" outlineLevel="0" collapsed="false">
      <c r="A362" s="4" t="s">
        <v>188</v>
      </c>
      <c r="B362" s="4" t="s">
        <v>155</v>
      </c>
      <c r="C362" s="6" t="n">
        <v>64.631</v>
      </c>
      <c r="D362" s="4" t="s">
        <v>266</v>
      </c>
      <c r="E362" s="18" t="s">
        <v>295</v>
      </c>
    </row>
    <row r="363" customFormat="false" ht="15" hidden="false" customHeight="true" outlineLevel="0" collapsed="false">
      <c r="A363" s="4" t="s">
        <v>188</v>
      </c>
      <c r="B363" s="4" t="s">
        <v>155</v>
      </c>
      <c r="C363" s="6" t="n">
        <v>74.345</v>
      </c>
      <c r="D363" s="17" t="s">
        <v>265</v>
      </c>
      <c r="E363" s="18" t="s">
        <v>294</v>
      </c>
    </row>
    <row r="364" customFormat="false" ht="15" hidden="false" customHeight="true" outlineLevel="0" collapsed="false">
      <c r="A364" s="4" t="s">
        <v>188</v>
      </c>
      <c r="B364" s="4" t="s">
        <v>155</v>
      </c>
      <c r="C364" s="6" t="n">
        <v>74.35</v>
      </c>
      <c r="D364" s="4" t="s">
        <v>270</v>
      </c>
      <c r="E364" s="18" t="s">
        <v>277</v>
      </c>
    </row>
    <row r="365" customFormat="false" ht="15" hidden="false" customHeight="true" outlineLevel="0" collapsed="false">
      <c r="A365" s="4" t="s">
        <v>188</v>
      </c>
      <c r="B365" s="4" t="s">
        <v>155</v>
      </c>
      <c r="C365" s="6" t="n">
        <v>74.407</v>
      </c>
      <c r="D365" s="4" t="s">
        <v>266</v>
      </c>
      <c r="E365" s="18" t="s">
        <v>278</v>
      </c>
    </row>
    <row r="366" customFormat="false" ht="15" hidden="false" customHeight="true" outlineLevel="0" collapsed="false">
      <c r="A366" s="4" t="s">
        <v>188</v>
      </c>
      <c r="B366" s="4" t="s">
        <v>155</v>
      </c>
      <c r="C366" s="6" t="n">
        <v>78.137</v>
      </c>
      <c r="D366" s="4" t="s">
        <v>266</v>
      </c>
      <c r="E366" s="18" t="s">
        <v>279</v>
      </c>
    </row>
    <row r="367" customFormat="false" ht="15" hidden="false" customHeight="true" outlineLevel="0" collapsed="false">
      <c r="A367" s="4" t="s">
        <v>188</v>
      </c>
      <c r="B367" s="4" t="s">
        <v>155</v>
      </c>
      <c r="C367" s="6" t="n">
        <v>81.619</v>
      </c>
      <c r="D367" s="17" t="s">
        <v>265</v>
      </c>
      <c r="E367" s="18" t="s">
        <v>297</v>
      </c>
    </row>
    <row r="368" customFormat="false" ht="15" hidden="false" customHeight="true" outlineLevel="0" collapsed="false">
      <c r="A368" s="4" t="s">
        <v>188</v>
      </c>
      <c r="B368" s="4" t="s">
        <v>155</v>
      </c>
      <c r="C368" s="6" t="n">
        <v>81.632</v>
      </c>
      <c r="D368" s="4" t="s">
        <v>270</v>
      </c>
      <c r="E368" s="18" t="s">
        <v>281</v>
      </c>
    </row>
    <row r="369" customFormat="false" ht="15" hidden="false" customHeight="true" outlineLevel="0" collapsed="false">
      <c r="A369" s="4" t="s">
        <v>188</v>
      </c>
      <c r="B369" s="4" t="s">
        <v>155</v>
      </c>
      <c r="C369" s="6" t="n">
        <v>81.64</v>
      </c>
      <c r="D369" s="4" t="s">
        <v>266</v>
      </c>
      <c r="E369" s="18" t="s">
        <v>282</v>
      </c>
    </row>
    <row r="370" customFormat="false" ht="15" hidden="false" customHeight="true" outlineLevel="0" collapsed="false">
      <c r="A370" s="4" t="s">
        <v>188</v>
      </c>
      <c r="B370" s="4" t="s">
        <v>155</v>
      </c>
      <c r="C370" s="6" t="n">
        <v>87.053</v>
      </c>
      <c r="D370" s="4" t="s">
        <v>266</v>
      </c>
      <c r="E370" s="18" t="s">
        <v>283</v>
      </c>
    </row>
    <row r="371" customFormat="false" ht="15" hidden="false" customHeight="true" outlineLevel="0" collapsed="false">
      <c r="A371" s="4" t="s">
        <v>188</v>
      </c>
      <c r="B371" s="4" t="s">
        <v>155</v>
      </c>
      <c r="C371" s="6" t="n">
        <v>97.684</v>
      </c>
      <c r="D371" s="17" t="s">
        <v>265</v>
      </c>
      <c r="E371" s="18" t="s">
        <v>392</v>
      </c>
    </row>
    <row r="372" customFormat="false" ht="15" hidden="false" customHeight="true" outlineLevel="0" collapsed="false">
      <c r="A372" s="4" t="s">
        <v>194</v>
      </c>
      <c r="B372" s="4" t="s">
        <v>155</v>
      </c>
      <c r="C372" s="6" t="n">
        <v>6.949</v>
      </c>
      <c r="D372" s="17" t="s">
        <v>265</v>
      </c>
      <c r="E372" s="18" t="s">
        <v>196</v>
      </c>
    </row>
    <row r="373" customFormat="false" ht="15" hidden="false" customHeight="true" outlineLevel="0" collapsed="false">
      <c r="A373" s="4" t="s">
        <v>194</v>
      </c>
      <c r="B373" s="4" t="s">
        <v>155</v>
      </c>
      <c r="C373" s="6" t="n">
        <v>8.196</v>
      </c>
      <c r="D373" s="4" t="s">
        <v>270</v>
      </c>
      <c r="E373" s="18" t="s">
        <v>363</v>
      </c>
    </row>
    <row r="374" customFormat="false" ht="15" hidden="false" customHeight="true" outlineLevel="0" collapsed="false">
      <c r="A374" s="4" t="s">
        <v>194</v>
      </c>
      <c r="B374" s="4" t="s">
        <v>155</v>
      </c>
      <c r="C374" s="6" t="n">
        <v>10.836</v>
      </c>
      <c r="D374" s="4" t="s">
        <v>266</v>
      </c>
      <c r="E374" s="18" t="s">
        <v>393</v>
      </c>
    </row>
    <row r="375" customFormat="false" ht="15" hidden="false" customHeight="true" outlineLevel="0" collapsed="false">
      <c r="A375" s="4" t="s">
        <v>194</v>
      </c>
      <c r="B375" s="4" t="s">
        <v>155</v>
      </c>
      <c r="C375" s="6" t="n">
        <v>22.211</v>
      </c>
      <c r="D375" s="4" t="s">
        <v>266</v>
      </c>
      <c r="E375" s="18" t="s">
        <v>394</v>
      </c>
    </row>
    <row r="376" customFormat="false" ht="15" hidden="false" customHeight="true" outlineLevel="0" collapsed="false">
      <c r="A376" s="4" t="s">
        <v>194</v>
      </c>
      <c r="B376" s="4" t="s">
        <v>155</v>
      </c>
      <c r="C376" s="6" t="n">
        <v>31.736</v>
      </c>
      <c r="D376" s="17" t="s">
        <v>265</v>
      </c>
      <c r="E376" s="18" t="s">
        <v>395</v>
      </c>
    </row>
    <row r="377" customFormat="false" ht="15" hidden="false" customHeight="true" outlineLevel="0" collapsed="false">
      <c r="A377" s="4" t="s">
        <v>194</v>
      </c>
      <c r="B377" s="4" t="s">
        <v>155</v>
      </c>
      <c r="C377" s="6" t="n">
        <v>32.615</v>
      </c>
      <c r="D377" s="4" t="s">
        <v>270</v>
      </c>
      <c r="E377" s="18" t="s">
        <v>362</v>
      </c>
    </row>
    <row r="378" customFormat="false" ht="15" hidden="false" customHeight="true" outlineLevel="0" collapsed="false">
      <c r="A378" s="4" t="s">
        <v>194</v>
      </c>
      <c r="B378" s="4" t="s">
        <v>155</v>
      </c>
      <c r="C378" s="6" t="n">
        <v>33.512</v>
      </c>
      <c r="D378" s="4" t="s">
        <v>266</v>
      </c>
      <c r="E378" s="18" t="s">
        <v>369</v>
      </c>
    </row>
    <row r="379" customFormat="false" ht="15" hidden="false" customHeight="true" outlineLevel="0" collapsed="false">
      <c r="A379" s="4" t="s">
        <v>194</v>
      </c>
      <c r="B379" s="4" t="s">
        <v>155</v>
      </c>
      <c r="C379" s="6" t="n">
        <v>42.774</v>
      </c>
      <c r="D379" s="17" t="s">
        <v>265</v>
      </c>
      <c r="E379" s="18" t="s">
        <v>396</v>
      </c>
    </row>
    <row r="380" customFormat="false" ht="15" hidden="false" customHeight="true" outlineLevel="0" collapsed="false">
      <c r="A380" s="4" t="s">
        <v>194</v>
      </c>
      <c r="B380" s="4" t="s">
        <v>155</v>
      </c>
      <c r="C380" s="6" t="n">
        <v>42.78</v>
      </c>
      <c r="D380" s="4" t="s">
        <v>270</v>
      </c>
      <c r="E380" s="18" t="s">
        <v>281</v>
      </c>
    </row>
    <row r="381" customFormat="false" ht="15" hidden="false" customHeight="true" outlineLevel="0" collapsed="false">
      <c r="A381" s="4" t="s">
        <v>194</v>
      </c>
      <c r="B381" s="4" t="s">
        <v>155</v>
      </c>
      <c r="C381" s="6" t="n">
        <v>42.799</v>
      </c>
      <c r="D381" s="4" t="s">
        <v>266</v>
      </c>
      <c r="E381" s="18" t="s">
        <v>282</v>
      </c>
    </row>
    <row r="382" customFormat="false" ht="15" hidden="false" customHeight="true" outlineLevel="0" collapsed="false">
      <c r="A382" s="4" t="s">
        <v>199</v>
      </c>
      <c r="B382" s="4" t="s">
        <v>155</v>
      </c>
      <c r="C382" s="6" t="n">
        <v>11.318</v>
      </c>
      <c r="D382" s="17" t="s">
        <v>265</v>
      </c>
      <c r="E382" s="18" t="s">
        <v>200</v>
      </c>
    </row>
    <row r="383" customFormat="false" ht="15" hidden="false" customHeight="true" outlineLevel="0" collapsed="false">
      <c r="A383" s="4" t="s">
        <v>199</v>
      </c>
      <c r="B383" s="4" t="s">
        <v>155</v>
      </c>
      <c r="C383" s="6" t="n">
        <v>13.715</v>
      </c>
      <c r="D383" s="4" t="s">
        <v>266</v>
      </c>
      <c r="E383" s="18" t="s">
        <v>397</v>
      </c>
    </row>
    <row r="384" customFormat="false" ht="15" hidden="false" customHeight="true" outlineLevel="0" collapsed="false">
      <c r="A384" s="4" t="s">
        <v>202</v>
      </c>
      <c r="B384" s="4" t="s">
        <v>155</v>
      </c>
      <c r="C384" s="6" t="n">
        <v>6.528</v>
      </c>
      <c r="D384" s="17" t="s">
        <v>265</v>
      </c>
      <c r="E384" s="18" t="s">
        <v>203</v>
      </c>
    </row>
    <row r="385" customFormat="false" ht="15" hidden="false" customHeight="true" outlineLevel="0" collapsed="false">
      <c r="A385" s="4" t="s">
        <v>202</v>
      </c>
      <c r="B385" s="4" t="s">
        <v>155</v>
      </c>
      <c r="C385" s="6" t="n">
        <v>7.556</v>
      </c>
      <c r="D385" s="4" t="s">
        <v>266</v>
      </c>
      <c r="E385" s="18" t="s">
        <v>398</v>
      </c>
    </row>
    <row r="386" customFormat="false" ht="15" hidden="false" customHeight="true" outlineLevel="0" collapsed="false">
      <c r="A386" s="4" t="s">
        <v>202</v>
      </c>
      <c r="B386" s="4" t="s">
        <v>155</v>
      </c>
      <c r="C386" s="6" t="n">
        <v>8.634</v>
      </c>
      <c r="D386" s="17" t="s">
        <v>265</v>
      </c>
      <c r="E386" s="18" t="s">
        <v>399</v>
      </c>
    </row>
    <row r="387" customFormat="false" ht="15" hidden="false" customHeight="true" outlineLevel="0" collapsed="false">
      <c r="A387" s="4" t="s">
        <v>202</v>
      </c>
      <c r="B387" s="4" t="s">
        <v>155</v>
      </c>
      <c r="C387" s="6" t="n">
        <v>9.835</v>
      </c>
      <c r="D387" s="4" t="s">
        <v>266</v>
      </c>
      <c r="E387" s="18" t="s">
        <v>400</v>
      </c>
    </row>
    <row r="388" customFormat="false" ht="15" hidden="false" customHeight="true" outlineLevel="0" collapsed="false">
      <c r="A388" s="4" t="s">
        <v>202</v>
      </c>
      <c r="B388" s="4" t="s">
        <v>155</v>
      </c>
      <c r="C388" s="6" t="n">
        <v>12.507</v>
      </c>
      <c r="D388" s="4" t="s">
        <v>266</v>
      </c>
      <c r="E388" s="18" t="s">
        <v>381</v>
      </c>
    </row>
    <row r="389" customFormat="false" ht="15" hidden="false" customHeight="true" outlineLevel="0" collapsed="false">
      <c r="A389" s="4" t="s">
        <v>206</v>
      </c>
      <c r="B389" s="4" t="s">
        <v>155</v>
      </c>
      <c r="C389" s="6" t="n">
        <v>6.854</v>
      </c>
      <c r="D389" s="17" t="s">
        <v>265</v>
      </c>
      <c r="E389" s="18" t="s">
        <v>207</v>
      </c>
    </row>
    <row r="390" customFormat="false" ht="15" hidden="false" customHeight="true" outlineLevel="0" collapsed="false">
      <c r="A390" s="4" t="s">
        <v>206</v>
      </c>
      <c r="B390" s="4" t="s">
        <v>155</v>
      </c>
      <c r="C390" s="6" t="n">
        <v>6.859</v>
      </c>
      <c r="D390" s="4" t="s">
        <v>270</v>
      </c>
      <c r="E390" s="18" t="s">
        <v>284</v>
      </c>
    </row>
    <row r="391" customFormat="false" ht="15" hidden="false" customHeight="true" outlineLevel="0" collapsed="false">
      <c r="A391" s="4" t="s">
        <v>206</v>
      </c>
      <c r="B391" s="4" t="s">
        <v>155</v>
      </c>
      <c r="C391" s="6" t="n">
        <v>6.897</v>
      </c>
      <c r="D391" s="4" t="s">
        <v>266</v>
      </c>
      <c r="E391" s="18" t="s">
        <v>285</v>
      </c>
    </row>
    <row r="392" customFormat="false" ht="15" hidden="false" customHeight="true" outlineLevel="0" collapsed="false">
      <c r="A392" s="4" t="s">
        <v>206</v>
      </c>
      <c r="B392" s="4" t="s">
        <v>155</v>
      </c>
      <c r="C392" s="6" t="n">
        <v>16.421</v>
      </c>
      <c r="D392" s="17" t="s">
        <v>265</v>
      </c>
      <c r="E392" s="18" t="s">
        <v>401</v>
      </c>
    </row>
    <row r="393" customFormat="false" ht="15" hidden="false" customHeight="true" outlineLevel="0" collapsed="false">
      <c r="A393" s="4" t="s">
        <v>206</v>
      </c>
      <c r="B393" s="4" t="s">
        <v>155</v>
      </c>
      <c r="C393" s="6" t="n">
        <v>17.541</v>
      </c>
      <c r="D393" s="4" t="s">
        <v>266</v>
      </c>
      <c r="E393" s="18" t="s">
        <v>402</v>
      </c>
    </row>
    <row r="394" customFormat="false" ht="15" hidden="false" customHeight="true" outlineLevel="0" collapsed="false">
      <c r="A394" s="4" t="s">
        <v>206</v>
      </c>
      <c r="B394" s="4" t="s">
        <v>155</v>
      </c>
      <c r="C394" s="6" t="n">
        <v>26.769</v>
      </c>
      <c r="D394" s="17" t="s">
        <v>265</v>
      </c>
      <c r="E394" s="18" t="s">
        <v>403</v>
      </c>
    </row>
    <row r="395" customFormat="false" ht="15" hidden="false" customHeight="true" outlineLevel="0" collapsed="false">
      <c r="A395" s="4" t="s">
        <v>206</v>
      </c>
      <c r="B395" s="4" t="s">
        <v>155</v>
      </c>
      <c r="C395" s="6" t="n">
        <v>27.316</v>
      </c>
      <c r="D395" s="17" t="s">
        <v>265</v>
      </c>
      <c r="E395" s="18" t="s">
        <v>404</v>
      </c>
    </row>
    <row r="396" customFormat="false" ht="15" hidden="false" customHeight="true" outlineLevel="0" collapsed="false">
      <c r="A396" s="4" t="s">
        <v>206</v>
      </c>
      <c r="B396" s="4" t="s">
        <v>155</v>
      </c>
      <c r="C396" s="6" t="n">
        <v>28.935</v>
      </c>
      <c r="D396" s="4" t="s">
        <v>270</v>
      </c>
      <c r="E396" s="18" t="s">
        <v>405</v>
      </c>
    </row>
    <row r="397" customFormat="false" ht="15" hidden="false" customHeight="true" outlineLevel="0" collapsed="false">
      <c r="A397" s="4" t="s">
        <v>206</v>
      </c>
      <c r="B397" s="4" t="s">
        <v>155</v>
      </c>
      <c r="C397" s="6" t="n">
        <v>28.986</v>
      </c>
      <c r="D397" s="4" t="s">
        <v>266</v>
      </c>
      <c r="E397" s="18" t="s">
        <v>406</v>
      </c>
    </row>
    <row r="398" customFormat="false" ht="15" hidden="false" customHeight="true" outlineLevel="0" collapsed="false">
      <c r="A398" s="4" t="s">
        <v>206</v>
      </c>
      <c r="B398" s="4" t="s">
        <v>155</v>
      </c>
      <c r="C398" s="6" t="n">
        <v>32.135</v>
      </c>
      <c r="D398" s="4" t="s">
        <v>266</v>
      </c>
      <c r="E398" s="18" t="s">
        <v>289</v>
      </c>
    </row>
    <row r="399" customFormat="false" ht="15" hidden="false" customHeight="true" outlineLevel="0" collapsed="false">
      <c r="A399" s="4" t="s">
        <v>206</v>
      </c>
      <c r="B399" s="4" t="s">
        <v>155</v>
      </c>
      <c r="C399" s="6" t="n">
        <v>37.488</v>
      </c>
      <c r="D399" s="4" t="s">
        <v>266</v>
      </c>
      <c r="E399" s="18" t="s">
        <v>290</v>
      </c>
    </row>
    <row r="400" customFormat="false" ht="15" hidden="false" customHeight="true" outlineLevel="0" collapsed="false">
      <c r="A400" s="4" t="s">
        <v>206</v>
      </c>
      <c r="B400" s="4" t="s">
        <v>155</v>
      </c>
      <c r="C400" s="6" t="n">
        <v>45.749</v>
      </c>
      <c r="D400" s="17" t="s">
        <v>265</v>
      </c>
      <c r="E400" s="18" t="s">
        <v>291</v>
      </c>
    </row>
    <row r="401" customFormat="false" ht="15" hidden="false" customHeight="true" outlineLevel="0" collapsed="false">
      <c r="A401" s="4" t="s">
        <v>206</v>
      </c>
      <c r="B401" s="4" t="s">
        <v>155</v>
      </c>
      <c r="C401" s="6" t="n">
        <v>45.762</v>
      </c>
      <c r="D401" s="4" t="s">
        <v>270</v>
      </c>
      <c r="E401" s="18" t="s">
        <v>71</v>
      </c>
    </row>
    <row r="402" customFormat="false" ht="15" hidden="false" customHeight="true" outlineLevel="0" collapsed="false">
      <c r="A402" s="4" t="s">
        <v>206</v>
      </c>
      <c r="B402" s="4" t="s">
        <v>155</v>
      </c>
      <c r="C402" s="6" t="n">
        <v>45.801</v>
      </c>
      <c r="D402" s="4" t="s">
        <v>266</v>
      </c>
      <c r="E402" s="18" t="s">
        <v>292</v>
      </c>
    </row>
    <row r="403" customFormat="false" ht="15" hidden="false" customHeight="true" outlineLevel="0" collapsed="false">
      <c r="A403" s="4" t="s">
        <v>206</v>
      </c>
      <c r="B403" s="4" t="s">
        <v>155</v>
      </c>
      <c r="C403" s="6" t="n">
        <v>48.938</v>
      </c>
      <c r="D403" s="4" t="s">
        <v>266</v>
      </c>
      <c r="E403" s="18" t="s">
        <v>293</v>
      </c>
    </row>
    <row r="404" customFormat="false" ht="15" hidden="false" customHeight="true" outlineLevel="0" collapsed="false">
      <c r="A404" s="4" t="s">
        <v>206</v>
      </c>
      <c r="B404" s="4" t="s">
        <v>155</v>
      </c>
      <c r="C404" s="6" t="n">
        <v>54.916</v>
      </c>
      <c r="D404" s="17" t="s">
        <v>265</v>
      </c>
      <c r="E404" s="18" t="s">
        <v>407</v>
      </c>
    </row>
    <row r="405" customFormat="false" ht="15" hidden="false" customHeight="true" outlineLevel="0" collapsed="false">
      <c r="A405" s="4" t="s">
        <v>206</v>
      </c>
      <c r="B405" s="4" t="s">
        <v>155</v>
      </c>
      <c r="C405" s="6" t="n">
        <v>55.753</v>
      </c>
      <c r="D405" s="4" t="s">
        <v>270</v>
      </c>
      <c r="E405" s="18" t="s">
        <v>281</v>
      </c>
    </row>
    <row r="406" customFormat="false" ht="15" hidden="false" customHeight="true" outlineLevel="0" collapsed="false">
      <c r="A406" s="4" t="s">
        <v>206</v>
      </c>
      <c r="B406" s="4" t="s">
        <v>155</v>
      </c>
      <c r="C406" s="6" t="n">
        <v>58.83</v>
      </c>
      <c r="D406" s="4" t="s">
        <v>266</v>
      </c>
      <c r="E406" s="18" t="s">
        <v>317</v>
      </c>
    </row>
    <row r="407" customFormat="false" ht="15" hidden="false" customHeight="true" outlineLevel="0" collapsed="false">
      <c r="A407" s="4" t="s">
        <v>206</v>
      </c>
      <c r="B407" s="4" t="s">
        <v>155</v>
      </c>
      <c r="C407" s="6" t="n">
        <v>68.349</v>
      </c>
      <c r="D407" s="17" t="s">
        <v>265</v>
      </c>
      <c r="E407" s="18" t="s">
        <v>408</v>
      </c>
    </row>
    <row r="408" customFormat="false" ht="15" hidden="false" customHeight="true" outlineLevel="0" collapsed="false">
      <c r="A408" s="4" t="s">
        <v>206</v>
      </c>
      <c r="B408" s="4" t="s">
        <v>155</v>
      </c>
      <c r="C408" s="6" t="n">
        <v>69.393</v>
      </c>
      <c r="D408" s="4" t="s">
        <v>270</v>
      </c>
      <c r="E408" s="18" t="s">
        <v>57</v>
      </c>
    </row>
    <row r="409" customFormat="false" ht="15" hidden="false" customHeight="true" outlineLevel="0" collapsed="false">
      <c r="A409" s="4" t="s">
        <v>206</v>
      </c>
      <c r="B409" s="4" t="s">
        <v>155</v>
      </c>
      <c r="C409" s="6" t="n">
        <v>69.457</v>
      </c>
      <c r="D409" s="4" t="s">
        <v>266</v>
      </c>
      <c r="E409" s="18" t="s">
        <v>274</v>
      </c>
    </row>
    <row r="410" customFormat="false" ht="15" hidden="false" customHeight="true" outlineLevel="0" collapsed="false">
      <c r="A410" s="4" t="s">
        <v>206</v>
      </c>
      <c r="B410" s="4" t="s">
        <v>155</v>
      </c>
      <c r="C410" s="6" t="n">
        <v>73.656</v>
      </c>
      <c r="D410" s="4" t="s">
        <v>266</v>
      </c>
      <c r="E410" s="18" t="s">
        <v>295</v>
      </c>
    </row>
    <row r="411" customFormat="false" ht="15" hidden="false" customHeight="true" outlineLevel="0" collapsed="false">
      <c r="A411" s="4" t="s">
        <v>206</v>
      </c>
      <c r="B411" s="4" t="s">
        <v>155</v>
      </c>
      <c r="C411" s="6" t="n">
        <v>84.499</v>
      </c>
      <c r="D411" s="17" t="s">
        <v>265</v>
      </c>
      <c r="E411" s="18" t="s">
        <v>409</v>
      </c>
    </row>
    <row r="412" customFormat="false" ht="15" hidden="false" customHeight="true" outlineLevel="0" collapsed="false">
      <c r="A412" s="4" t="s">
        <v>206</v>
      </c>
      <c r="B412" s="4" t="s">
        <v>155</v>
      </c>
      <c r="C412" s="6" t="n">
        <v>85.596</v>
      </c>
      <c r="D412" s="4" t="s">
        <v>270</v>
      </c>
      <c r="E412" s="18" t="s">
        <v>299</v>
      </c>
    </row>
    <row r="413" customFormat="false" ht="15" hidden="false" customHeight="true" outlineLevel="0" collapsed="false">
      <c r="A413" s="4" t="s">
        <v>206</v>
      </c>
      <c r="B413" s="4" t="s">
        <v>155</v>
      </c>
      <c r="C413" s="6" t="n">
        <v>85.631</v>
      </c>
      <c r="D413" s="4" t="s">
        <v>266</v>
      </c>
      <c r="E413" s="18" t="s">
        <v>278</v>
      </c>
    </row>
    <row r="414" customFormat="false" ht="15" hidden="false" customHeight="true" outlineLevel="0" collapsed="false">
      <c r="A414" s="4" t="s">
        <v>206</v>
      </c>
      <c r="B414" s="4" t="s">
        <v>155</v>
      </c>
      <c r="C414" s="6" t="n">
        <v>93.812</v>
      </c>
      <c r="D414" s="4" t="s">
        <v>266</v>
      </c>
      <c r="E414" s="18" t="s">
        <v>283</v>
      </c>
    </row>
    <row r="415" customFormat="false" ht="15" hidden="false" customHeight="true" outlineLevel="0" collapsed="false">
      <c r="A415" s="4" t="s">
        <v>211</v>
      </c>
      <c r="B415" s="4" t="s">
        <v>155</v>
      </c>
      <c r="C415" s="6" t="n">
        <v>5.111</v>
      </c>
      <c r="D415" s="17" t="s">
        <v>265</v>
      </c>
      <c r="E415" s="18" t="s">
        <v>124</v>
      </c>
    </row>
    <row r="416" customFormat="false" ht="15" hidden="false" customHeight="true" outlineLevel="0" collapsed="false">
      <c r="A416" s="4" t="s">
        <v>211</v>
      </c>
      <c r="B416" s="4" t="s">
        <v>155</v>
      </c>
      <c r="C416" s="6" t="n">
        <v>5.116</v>
      </c>
      <c r="D416" s="4" t="s">
        <v>270</v>
      </c>
      <c r="E416" s="18" t="s">
        <v>284</v>
      </c>
    </row>
    <row r="417" customFormat="false" ht="15" hidden="false" customHeight="true" outlineLevel="0" collapsed="false">
      <c r="A417" s="4" t="s">
        <v>211</v>
      </c>
      <c r="B417" s="4" t="s">
        <v>155</v>
      </c>
      <c r="C417" s="6" t="n">
        <v>5.135</v>
      </c>
      <c r="D417" s="4" t="s">
        <v>266</v>
      </c>
      <c r="E417" s="18" t="s">
        <v>285</v>
      </c>
    </row>
    <row r="418" customFormat="false" ht="15" hidden="false" customHeight="true" outlineLevel="0" collapsed="false">
      <c r="A418" s="4" t="s">
        <v>211</v>
      </c>
      <c r="B418" s="4" t="s">
        <v>155</v>
      </c>
      <c r="C418" s="6" t="n">
        <v>12.723</v>
      </c>
      <c r="D418" s="17" t="s">
        <v>265</v>
      </c>
      <c r="E418" s="18" t="s">
        <v>410</v>
      </c>
    </row>
    <row r="419" customFormat="false" ht="15" hidden="false" customHeight="true" outlineLevel="0" collapsed="false">
      <c r="A419" s="4" t="s">
        <v>211</v>
      </c>
      <c r="B419" s="4" t="s">
        <v>155</v>
      </c>
      <c r="C419" s="6" t="n">
        <v>12.773</v>
      </c>
      <c r="D419" s="4" t="s">
        <v>266</v>
      </c>
      <c r="E419" s="18" t="s">
        <v>348</v>
      </c>
    </row>
    <row r="420" customFormat="false" ht="15" hidden="false" customHeight="true" outlineLevel="0" collapsed="false">
      <c r="A420" s="4" t="s">
        <v>211</v>
      </c>
      <c r="B420" s="4" t="s">
        <v>155</v>
      </c>
      <c r="C420" s="6" t="n">
        <v>13.955</v>
      </c>
      <c r="D420" s="4" t="s">
        <v>270</v>
      </c>
      <c r="E420" s="18" t="s">
        <v>359</v>
      </c>
    </row>
    <row r="421" customFormat="false" ht="15" hidden="false" customHeight="true" outlineLevel="0" collapsed="false">
      <c r="A421" s="4" t="s">
        <v>211</v>
      </c>
      <c r="B421" s="4" t="s">
        <v>155</v>
      </c>
      <c r="C421" s="6" t="n">
        <v>16.324</v>
      </c>
      <c r="D421" s="4" t="s">
        <v>266</v>
      </c>
      <c r="E421" s="18" t="s">
        <v>411</v>
      </c>
    </row>
    <row r="422" customFormat="false" ht="15" hidden="false" customHeight="true" outlineLevel="0" collapsed="false">
      <c r="A422" s="4" t="s">
        <v>211</v>
      </c>
      <c r="B422" s="4" t="s">
        <v>155</v>
      </c>
      <c r="C422" s="6" t="n">
        <v>21.503</v>
      </c>
      <c r="D422" s="4" t="s">
        <v>266</v>
      </c>
      <c r="E422" s="18" t="s">
        <v>289</v>
      </c>
    </row>
    <row r="423" customFormat="false" ht="15" hidden="false" customHeight="true" outlineLevel="0" collapsed="false">
      <c r="A423" s="4" t="s">
        <v>211</v>
      </c>
      <c r="B423" s="4" t="s">
        <v>155</v>
      </c>
      <c r="C423" s="6" t="n">
        <v>24.525</v>
      </c>
      <c r="D423" s="4" t="s">
        <v>266</v>
      </c>
      <c r="E423" s="18" t="s">
        <v>290</v>
      </c>
    </row>
    <row r="424" customFormat="false" ht="15" hidden="false" customHeight="true" outlineLevel="0" collapsed="false">
      <c r="A424" s="4" t="s">
        <v>211</v>
      </c>
      <c r="B424" s="4" t="s">
        <v>155</v>
      </c>
      <c r="C424" s="6" t="n">
        <v>30.518</v>
      </c>
      <c r="D424" s="17" t="s">
        <v>265</v>
      </c>
      <c r="E424" s="18" t="s">
        <v>412</v>
      </c>
    </row>
    <row r="425" customFormat="false" ht="15" hidden="false" customHeight="true" outlineLevel="0" collapsed="false">
      <c r="A425" s="4" t="s">
        <v>211</v>
      </c>
      <c r="B425" s="4" t="s">
        <v>155</v>
      </c>
      <c r="C425" s="6" t="n">
        <v>31.6</v>
      </c>
      <c r="D425" s="4" t="s">
        <v>270</v>
      </c>
      <c r="E425" s="18" t="s">
        <v>413</v>
      </c>
    </row>
    <row r="426" customFormat="false" ht="15" hidden="false" customHeight="true" outlineLevel="0" collapsed="false">
      <c r="A426" s="4" t="s">
        <v>211</v>
      </c>
      <c r="B426" s="4" t="s">
        <v>155</v>
      </c>
      <c r="C426" s="6" t="n">
        <v>31.633</v>
      </c>
      <c r="D426" s="4" t="s">
        <v>266</v>
      </c>
      <c r="E426" s="18" t="s">
        <v>292</v>
      </c>
    </row>
    <row r="427" customFormat="false" ht="15" hidden="false" customHeight="true" outlineLevel="0" collapsed="false">
      <c r="A427" s="4" t="s">
        <v>211</v>
      </c>
      <c r="B427" s="4" t="s">
        <v>155</v>
      </c>
      <c r="C427" s="6" t="n">
        <v>34.78</v>
      </c>
      <c r="D427" s="4" t="s">
        <v>266</v>
      </c>
      <c r="E427" s="18" t="s">
        <v>293</v>
      </c>
    </row>
    <row r="428" customFormat="false" ht="15" hidden="false" customHeight="true" outlineLevel="0" collapsed="false">
      <c r="A428" s="4" t="s">
        <v>211</v>
      </c>
      <c r="B428" s="4" t="s">
        <v>155</v>
      </c>
      <c r="C428" s="6" t="n">
        <v>39.387</v>
      </c>
      <c r="D428" s="17" t="s">
        <v>265</v>
      </c>
      <c r="E428" s="18" t="s">
        <v>414</v>
      </c>
    </row>
    <row r="429" customFormat="false" ht="15" hidden="false" customHeight="true" outlineLevel="0" collapsed="false">
      <c r="A429" s="4" t="s">
        <v>211</v>
      </c>
      <c r="B429" s="4" t="s">
        <v>155</v>
      </c>
      <c r="C429" s="6" t="n">
        <v>40.425</v>
      </c>
      <c r="D429" s="4" t="s">
        <v>270</v>
      </c>
      <c r="E429" s="18" t="s">
        <v>281</v>
      </c>
    </row>
    <row r="430" customFormat="false" ht="15" hidden="false" customHeight="true" outlineLevel="0" collapsed="false">
      <c r="A430" s="4" t="s">
        <v>211</v>
      </c>
      <c r="B430" s="4" t="s">
        <v>155</v>
      </c>
      <c r="C430" s="6" t="n">
        <v>43.504</v>
      </c>
      <c r="D430" s="4" t="s">
        <v>266</v>
      </c>
      <c r="E430" s="18" t="s">
        <v>317</v>
      </c>
    </row>
    <row r="431" customFormat="false" ht="15" hidden="false" customHeight="true" outlineLevel="0" collapsed="false">
      <c r="A431" s="4" t="s">
        <v>211</v>
      </c>
      <c r="B431" s="4" t="s">
        <v>155</v>
      </c>
      <c r="C431" s="6" t="n">
        <v>45.62</v>
      </c>
      <c r="D431" s="17" t="s">
        <v>265</v>
      </c>
      <c r="E431" s="18" t="s">
        <v>415</v>
      </c>
    </row>
    <row r="432" customFormat="false" ht="15" hidden="false" customHeight="true" outlineLevel="0" collapsed="false">
      <c r="A432" s="4" t="s">
        <v>211</v>
      </c>
      <c r="B432" s="4" t="s">
        <v>155</v>
      </c>
      <c r="C432" s="6" t="n">
        <v>45.624</v>
      </c>
      <c r="D432" s="4" t="s">
        <v>270</v>
      </c>
      <c r="E432" s="18" t="s">
        <v>277</v>
      </c>
    </row>
    <row r="433" customFormat="false" ht="15" hidden="false" customHeight="true" outlineLevel="0" collapsed="false">
      <c r="A433" s="4" t="s">
        <v>211</v>
      </c>
      <c r="B433" s="4" t="s">
        <v>155</v>
      </c>
      <c r="C433" s="6" t="n">
        <v>45.683</v>
      </c>
      <c r="D433" s="4" t="s">
        <v>266</v>
      </c>
      <c r="E433" s="18" t="s">
        <v>278</v>
      </c>
    </row>
    <row r="434" customFormat="false" ht="15" hidden="false" customHeight="true" outlineLevel="0" collapsed="false">
      <c r="A434" s="4" t="s">
        <v>211</v>
      </c>
      <c r="B434" s="4" t="s">
        <v>155</v>
      </c>
      <c r="C434" s="6" t="n">
        <v>49.764</v>
      </c>
      <c r="D434" s="4" t="s">
        <v>266</v>
      </c>
      <c r="E434" s="18" t="s">
        <v>310</v>
      </c>
    </row>
    <row r="435" customFormat="false" ht="15" hidden="false" customHeight="true" outlineLevel="0" collapsed="false">
      <c r="A435" s="4" t="s">
        <v>214</v>
      </c>
      <c r="B435" s="4" t="s">
        <v>155</v>
      </c>
      <c r="C435" s="6" t="n">
        <v>4.602</v>
      </c>
      <c r="D435" s="4" t="s">
        <v>266</v>
      </c>
      <c r="E435" s="18" t="s">
        <v>389</v>
      </c>
    </row>
    <row r="436" customFormat="false" ht="15" hidden="false" customHeight="true" outlineLevel="0" collapsed="false">
      <c r="A436" s="4" t="s">
        <v>214</v>
      </c>
      <c r="B436" s="4" t="s">
        <v>155</v>
      </c>
      <c r="C436" s="6" t="n">
        <v>15.775</v>
      </c>
      <c r="D436" s="17" t="s">
        <v>265</v>
      </c>
      <c r="E436" s="18" t="s">
        <v>215</v>
      </c>
    </row>
    <row r="437" customFormat="false" ht="15" hidden="false" customHeight="true" outlineLevel="0" collapsed="false">
      <c r="A437" s="4" t="s">
        <v>214</v>
      </c>
      <c r="B437" s="4" t="s">
        <v>155</v>
      </c>
      <c r="C437" s="6" t="n">
        <v>16.994</v>
      </c>
      <c r="D437" s="4" t="s">
        <v>266</v>
      </c>
      <c r="E437" s="18" t="s">
        <v>416</v>
      </c>
    </row>
    <row r="438" customFormat="false" ht="15" hidden="false" customHeight="true" outlineLevel="0" collapsed="false">
      <c r="A438" s="4" t="s">
        <v>214</v>
      </c>
      <c r="B438" s="4" t="s">
        <v>155</v>
      </c>
      <c r="C438" s="6" t="n">
        <v>21.631</v>
      </c>
      <c r="D438" s="4" t="s">
        <v>266</v>
      </c>
      <c r="E438" s="18" t="s">
        <v>417</v>
      </c>
    </row>
    <row r="439" customFormat="false" ht="15" hidden="false" customHeight="true" outlineLevel="0" collapsed="false">
      <c r="A439" s="4" t="s">
        <v>214</v>
      </c>
      <c r="B439" s="4" t="s">
        <v>155</v>
      </c>
      <c r="C439" s="6" t="n">
        <v>26.063</v>
      </c>
      <c r="D439" s="17" t="s">
        <v>265</v>
      </c>
      <c r="E439" s="18" t="s">
        <v>418</v>
      </c>
    </row>
    <row r="440" customFormat="false" ht="15" hidden="false" customHeight="true" outlineLevel="0" collapsed="false">
      <c r="A440" s="4" t="s">
        <v>214</v>
      </c>
      <c r="B440" s="4" t="s">
        <v>155</v>
      </c>
      <c r="C440" s="6" t="n">
        <v>27.164</v>
      </c>
      <c r="D440" s="4" t="s">
        <v>266</v>
      </c>
      <c r="E440" s="18" t="s">
        <v>419</v>
      </c>
    </row>
    <row r="441" customFormat="false" ht="15" hidden="false" customHeight="true" outlineLevel="0" collapsed="false">
      <c r="A441" s="4" t="s">
        <v>214</v>
      </c>
      <c r="B441" s="4" t="s">
        <v>155</v>
      </c>
      <c r="C441" s="6" t="n">
        <v>31.96</v>
      </c>
      <c r="D441" s="17" t="s">
        <v>265</v>
      </c>
      <c r="E441" s="18" t="s">
        <v>420</v>
      </c>
    </row>
    <row r="442" customFormat="false" ht="15" hidden="false" customHeight="true" outlineLevel="0" collapsed="false">
      <c r="A442" s="4" t="s">
        <v>214</v>
      </c>
      <c r="B442" s="4" t="s">
        <v>155</v>
      </c>
      <c r="C442" s="6" t="n">
        <v>31.964</v>
      </c>
      <c r="D442" s="4" t="s">
        <v>270</v>
      </c>
      <c r="E442" s="18" t="s">
        <v>359</v>
      </c>
    </row>
    <row r="443" customFormat="false" ht="15" hidden="false" customHeight="true" outlineLevel="0" collapsed="false">
      <c r="A443" s="4" t="s">
        <v>214</v>
      </c>
      <c r="B443" s="4" t="s">
        <v>155</v>
      </c>
      <c r="C443" s="6" t="n">
        <v>32.636</v>
      </c>
      <c r="D443" s="4" t="s">
        <v>266</v>
      </c>
      <c r="E443" s="18" t="s">
        <v>289</v>
      </c>
    </row>
    <row r="444" customFormat="false" ht="15" hidden="false" customHeight="true" outlineLevel="0" collapsed="false">
      <c r="A444" s="4" t="s">
        <v>214</v>
      </c>
      <c r="B444" s="4" t="s">
        <v>155</v>
      </c>
      <c r="C444" s="6" t="n">
        <v>37.18</v>
      </c>
      <c r="D444" s="4" t="s">
        <v>266</v>
      </c>
      <c r="E444" s="18" t="s">
        <v>290</v>
      </c>
    </row>
    <row r="445" customFormat="false" ht="15" hidden="false" customHeight="true" outlineLevel="0" collapsed="false">
      <c r="A445" s="4" t="s">
        <v>214</v>
      </c>
      <c r="B445" s="4" t="s">
        <v>155</v>
      </c>
      <c r="C445" s="6" t="n">
        <v>44.761</v>
      </c>
      <c r="D445" s="17" t="s">
        <v>265</v>
      </c>
      <c r="E445" s="18" t="s">
        <v>291</v>
      </c>
    </row>
    <row r="446" customFormat="false" ht="15" hidden="false" customHeight="true" outlineLevel="0" collapsed="false">
      <c r="A446" s="4" t="s">
        <v>214</v>
      </c>
      <c r="B446" s="4" t="s">
        <v>155</v>
      </c>
      <c r="C446" s="6" t="n">
        <v>44.764</v>
      </c>
      <c r="D446" s="4" t="s">
        <v>270</v>
      </c>
      <c r="E446" s="18" t="s">
        <v>71</v>
      </c>
    </row>
    <row r="447" customFormat="false" ht="15" hidden="false" customHeight="true" outlineLevel="0" collapsed="false">
      <c r="A447" s="4" t="s">
        <v>214</v>
      </c>
      <c r="B447" s="4" t="s">
        <v>155</v>
      </c>
      <c r="C447" s="6" t="n">
        <v>44.825</v>
      </c>
      <c r="D447" s="4" t="s">
        <v>266</v>
      </c>
      <c r="E447" s="18" t="s">
        <v>292</v>
      </c>
    </row>
    <row r="448" customFormat="false" ht="15" hidden="false" customHeight="true" outlineLevel="0" collapsed="false">
      <c r="A448" s="4" t="s">
        <v>214</v>
      </c>
      <c r="B448" s="4" t="s">
        <v>155</v>
      </c>
      <c r="C448" s="6" t="n">
        <v>47.959</v>
      </c>
      <c r="D448" s="4" t="s">
        <v>266</v>
      </c>
      <c r="E448" s="18" t="s">
        <v>293</v>
      </c>
    </row>
    <row r="449" customFormat="false" ht="15" hidden="false" customHeight="true" outlineLevel="0" collapsed="false">
      <c r="A449" s="4" t="s">
        <v>214</v>
      </c>
      <c r="B449" s="4" t="s">
        <v>155</v>
      </c>
      <c r="C449" s="6" t="n">
        <v>50.337</v>
      </c>
      <c r="D449" s="17" t="s">
        <v>265</v>
      </c>
      <c r="E449" s="18" t="s">
        <v>421</v>
      </c>
    </row>
    <row r="450" customFormat="false" ht="15" hidden="false" customHeight="true" outlineLevel="0" collapsed="false">
      <c r="A450" s="4" t="s">
        <v>214</v>
      </c>
      <c r="B450" s="4" t="s">
        <v>155</v>
      </c>
      <c r="C450" s="6" t="n">
        <v>51.417</v>
      </c>
      <c r="D450" s="4" t="s">
        <v>270</v>
      </c>
      <c r="E450" s="18" t="s">
        <v>57</v>
      </c>
    </row>
    <row r="451" customFormat="false" ht="15" hidden="false" customHeight="true" outlineLevel="0" collapsed="false">
      <c r="A451" s="4" t="s">
        <v>214</v>
      </c>
      <c r="B451" s="4" t="s">
        <v>155</v>
      </c>
      <c r="C451" s="6" t="n">
        <v>51.437</v>
      </c>
      <c r="D451" s="4" t="s">
        <v>266</v>
      </c>
      <c r="E451" s="18" t="s">
        <v>274</v>
      </c>
    </row>
    <row r="452" customFormat="false" ht="15" hidden="false" customHeight="true" outlineLevel="0" collapsed="false">
      <c r="A452" s="4" t="s">
        <v>214</v>
      </c>
      <c r="B452" s="4" t="s">
        <v>155</v>
      </c>
      <c r="C452" s="6" t="n">
        <v>58.702</v>
      </c>
      <c r="D452" s="4" t="s">
        <v>266</v>
      </c>
      <c r="E452" s="18" t="s">
        <v>295</v>
      </c>
    </row>
    <row r="453" customFormat="false" ht="15" hidden="false" customHeight="true" outlineLevel="0" collapsed="false">
      <c r="A453" s="4" t="s">
        <v>214</v>
      </c>
      <c r="B453" s="4" t="s">
        <v>155</v>
      </c>
      <c r="C453" s="6" t="n">
        <v>60.994</v>
      </c>
      <c r="D453" s="17" t="s">
        <v>265</v>
      </c>
      <c r="E453" s="18" t="s">
        <v>422</v>
      </c>
    </row>
    <row r="454" customFormat="false" ht="15" hidden="false" customHeight="true" outlineLevel="0" collapsed="false">
      <c r="A454" s="4" t="s">
        <v>214</v>
      </c>
      <c r="B454" s="4" t="s">
        <v>155</v>
      </c>
      <c r="C454" s="6" t="n">
        <v>61.009</v>
      </c>
      <c r="D454" s="4" t="s">
        <v>270</v>
      </c>
      <c r="E454" s="18" t="s">
        <v>313</v>
      </c>
    </row>
    <row r="455" customFormat="false" ht="15" hidden="false" customHeight="true" outlineLevel="0" collapsed="false">
      <c r="A455" s="4" t="s">
        <v>214</v>
      </c>
      <c r="B455" s="4" t="s">
        <v>155</v>
      </c>
      <c r="C455" s="6" t="n">
        <v>61.063</v>
      </c>
      <c r="D455" s="4" t="s">
        <v>266</v>
      </c>
      <c r="E455" s="18" t="s">
        <v>278</v>
      </c>
    </row>
    <row r="456" customFormat="false" ht="15" hidden="false" customHeight="true" outlineLevel="0" collapsed="false">
      <c r="A456" s="4" t="s">
        <v>214</v>
      </c>
      <c r="B456" s="4" t="s">
        <v>155</v>
      </c>
      <c r="C456" s="6" t="n">
        <v>69.346</v>
      </c>
      <c r="D456" s="4" t="s">
        <v>266</v>
      </c>
      <c r="E456" s="18" t="s">
        <v>283</v>
      </c>
    </row>
    <row r="457" customFormat="false" ht="15" hidden="false" customHeight="true" outlineLevel="0" collapsed="false">
      <c r="A457" s="4" t="s">
        <v>220</v>
      </c>
      <c r="B457" s="4" t="s">
        <v>155</v>
      </c>
      <c r="C457" s="6" t="n">
        <v>7.296</v>
      </c>
      <c r="D457" s="17" t="s">
        <v>265</v>
      </c>
      <c r="E457" s="18" t="s">
        <v>221</v>
      </c>
    </row>
    <row r="458" customFormat="false" ht="15" hidden="false" customHeight="true" outlineLevel="0" collapsed="false">
      <c r="A458" s="4" t="s">
        <v>220</v>
      </c>
      <c r="B458" s="4" t="s">
        <v>155</v>
      </c>
      <c r="C458" s="6" t="n">
        <v>8.231</v>
      </c>
      <c r="D458" s="4" t="s">
        <v>270</v>
      </c>
      <c r="E458" s="18" t="s">
        <v>57</v>
      </c>
    </row>
    <row r="459" customFormat="false" ht="15" hidden="false" customHeight="true" outlineLevel="0" collapsed="false">
      <c r="A459" s="4" t="s">
        <v>220</v>
      </c>
      <c r="B459" s="4" t="s">
        <v>155</v>
      </c>
      <c r="C459" s="6" t="n">
        <v>9.42</v>
      </c>
      <c r="D459" s="4" t="s">
        <v>266</v>
      </c>
      <c r="E459" s="18" t="s">
        <v>423</v>
      </c>
    </row>
    <row r="460" customFormat="false" ht="15" hidden="false" customHeight="true" outlineLevel="0" collapsed="false">
      <c r="A460" s="4" t="s">
        <v>220</v>
      </c>
      <c r="B460" s="4" t="s">
        <v>155</v>
      </c>
      <c r="C460" s="6" t="n">
        <v>16.208</v>
      </c>
      <c r="D460" s="4" t="s">
        <v>266</v>
      </c>
      <c r="E460" s="18" t="s">
        <v>424</v>
      </c>
    </row>
    <row r="461" customFormat="false" ht="15" hidden="false" customHeight="true" outlineLevel="0" collapsed="false">
      <c r="A461" s="4" t="s">
        <v>220</v>
      </c>
      <c r="B461" s="4" t="s">
        <v>155</v>
      </c>
      <c r="C461" s="6" t="n">
        <v>22.592</v>
      </c>
      <c r="D461" s="4" t="s">
        <v>266</v>
      </c>
      <c r="E461" s="18" t="s">
        <v>425</v>
      </c>
    </row>
    <row r="462" customFormat="false" ht="15" hidden="false" customHeight="true" outlineLevel="0" collapsed="false">
      <c r="A462" s="4" t="s">
        <v>220</v>
      </c>
      <c r="B462" s="4" t="s">
        <v>155</v>
      </c>
      <c r="C462" s="6" t="n">
        <v>32.662</v>
      </c>
      <c r="D462" s="17" t="s">
        <v>265</v>
      </c>
      <c r="E462" s="18" t="s">
        <v>426</v>
      </c>
    </row>
    <row r="463" customFormat="false" ht="15" hidden="false" customHeight="true" outlineLevel="0" collapsed="false">
      <c r="A463" s="4" t="s">
        <v>220</v>
      </c>
      <c r="B463" s="4" t="s">
        <v>155</v>
      </c>
      <c r="C463" s="6" t="n">
        <v>33.857</v>
      </c>
      <c r="D463" s="4" t="s">
        <v>270</v>
      </c>
      <c r="E463" s="18" t="s">
        <v>281</v>
      </c>
    </row>
    <row r="464" customFormat="false" ht="15" hidden="false" customHeight="true" outlineLevel="0" collapsed="false">
      <c r="A464" s="4" t="s">
        <v>220</v>
      </c>
      <c r="B464" s="4" t="s">
        <v>155</v>
      </c>
      <c r="C464" s="6" t="n">
        <v>33.914</v>
      </c>
      <c r="D464" s="4" t="s">
        <v>270</v>
      </c>
      <c r="E464" s="18" t="s">
        <v>71</v>
      </c>
    </row>
    <row r="465" customFormat="false" ht="15" hidden="false" customHeight="true" outlineLevel="0" collapsed="false">
      <c r="A465" s="4" t="s">
        <v>220</v>
      </c>
      <c r="B465" s="4" t="s">
        <v>155</v>
      </c>
      <c r="C465" s="6" t="n">
        <v>34.875</v>
      </c>
      <c r="D465" s="4" t="s">
        <v>266</v>
      </c>
      <c r="E465" s="18" t="s">
        <v>282</v>
      </c>
    </row>
    <row r="466" customFormat="false" ht="15" hidden="false" customHeight="true" outlineLevel="0" collapsed="false">
      <c r="A466" s="4" t="s">
        <v>220</v>
      </c>
      <c r="B466" s="4" t="s">
        <v>155</v>
      </c>
      <c r="C466" s="6" t="n">
        <v>36.74</v>
      </c>
      <c r="D466" s="4" t="s">
        <v>266</v>
      </c>
      <c r="E466" s="18" t="s">
        <v>292</v>
      </c>
    </row>
    <row r="467" customFormat="false" ht="15" hidden="false" customHeight="true" outlineLevel="0" collapsed="false">
      <c r="A467" s="4" t="s">
        <v>220</v>
      </c>
      <c r="B467" s="4" t="s">
        <v>155</v>
      </c>
      <c r="C467" s="6" t="n">
        <v>47.759</v>
      </c>
      <c r="D467" s="17" t="s">
        <v>265</v>
      </c>
      <c r="E467" s="18" t="s">
        <v>427</v>
      </c>
    </row>
    <row r="468" customFormat="false" ht="15" hidden="false" customHeight="true" outlineLevel="0" collapsed="false">
      <c r="A468" s="4" t="s">
        <v>220</v>
      </c>
      <c r="B468" s="4" t="s">
        <v>155</v>
      </c>
      <c r="C468" s="6" t="n">
        <v>48.827</v>
      </c>
      <c r="D468" s="4" t="s">
        <v>266</v>
      </c>
      <c r="E468" s="18" t="s">
        <v>428</v>
      </c>
    </row>
    <row r="469" customFormat="false" ht="15" hidden="false" customHeight="true" outlineLevel="0" collapsed="false">
      <c r="A469" s="4" t="s">
        <v>220</v>
      </c>
      <c r="B469" s="4" t="s">
        <v>155</v>
      </c>
      <c r="C469" s="6" t="n">
        <v>55.542</v>
      </c>
      <c r="D469" s="17" t="s">
        <v>265</v>
      </c>
      <c r="E469" s="18" t="s">
        <v>429</v>
      </c>
    </row>
    <row r="470" customFormat="false" ht="15" hidden="false" customHeight="true" outlineLevel="0" collapsed="false">
      <c r="A470" s="4" t="s">
        <v>220</v>
      </c>
      <c r="B470" s="4" t="s">
        <v>155</v>
      </c>
      <c r="C470" s="6" t="n">
        <v>56.636</v>
      </c>
      <c r="D470" s="4" t="s">
        <v>270</v>
      </c>
      <c r="E470" s="18" t="s">
        <v>362</v>
      </c>
    </row>
    <row r="471" customFormat="false" ht="15" hidden="false" customHeight="true" outlineLevel="0" collapsed="false">
      <c r="A471" s="4" t="s">
        <v>220</v>
      </c>
      <c r="B471" s="4" t="s">
        <v>155</v>
      </c>
      <c r="C471" s="6" t="n">
        <v>57.432</v>
      </c>
      <c r="D471" s="4" t="s">
        <v>266</v>
      </c>
      <c r="E471" s="18" t="s">
        <v>369</v>
      </c>
    </row>
    <row r="472" customFormat="false" ht="15" hidden="false" customHeight="true" outlineLevel="0" collapsed="false">
      <c r="A472" s="4" t="s">
        <v>220</v>
      </c>
      <c r="B472" s="4" t="s">
        <v>155</v>
      </c>
      <c r="C472" s="6" t="n">
        <v>63.892</v>
      </c>
      <c r="D472" s="17" t="s">
        <v>265</v>
      </c>
      <c r="E472" s="18" t="s">
        <v>430</v>
      </c>
    </row>
    <row r="473" customFormat="false" ht="15" hidden="false" customHeight="true" outlineLevel="0" collapsed="false">
      <c r="A473" s="4" t="s">
        <v>220</v>
      </c>
      <c r="B473" s="4" t="s">
        <v>155</v>
      </c>
      <c r="C473" s="6" t="n">
        <v>64.825</v>
      </c>
      <c r="D473" s="4" t="s">
        <v>266</v>
      </c>
      <c r="E473" s="18" t="s">
        <v>431</v>
      </c>
    </row>
    <row r="474" customFormat="false" ht="15" hidden="false" customHeight="false" outlineLevel="0" collapsed="false">
      <c r="A474" s="4" t="s">
        <v>224</v>
      </c>
      <c r="B474" s="4" t="s">
        <v>155</v>
      </c>
      <c r="C474" s="6" t="n">
        <v>12.384</v>
      </c>
      <c r="D474" s="17" t="s">
        <v>265</v>
      </c>
      <c r="E474" s="18" t="s">
        <v>225</v>
      </c>
    </row>
    <row r="475" customFormat="false" ht="15" hidden="false" customHeight="false" outlineLevel="0" collapsed="false">
      <c r="A475" s="4" t="s">
        <v>224</v>
      </c>
      <c r="B475" s="4" t="s">
        <v>155</v>
      </c>
      <c r="C475" s="6" t="n">
        <v>13.762</v>
      </c>
      <c r="D475" s="4" t="s">
        <v>270</v>
      </c>
      <c r="E475" s="18" t="s">
        <v>271</v>
      </c>
    </row>
    <row r="476" customFormat="false" ht="15" hidden="false" customHeight="false" outlineLevel="0" collapsed="false">
      <c r="A476" s="4" t="s">
        <v>224</v>
      </c>
      <c r="B476" s="4" t="s">
        <v>155</v>
      </c>
      <c r="C476" s="6" t="n">
        <v>14.887</v>
      </c>
      <c r="D476" s="4" t="s">
        <v>266</v>
      </c>
      <c r="E476" s="18" t="s">
        <v>272</v>
      </c>
    </row>
    <row r="477" customFormat="false" ht="15" hidden="false" customHeight="false" outlineLevel="0" collapsed="false">
      <c r="A477" s="4" t="s">
        <v>224</v>
      </c>
      <c r="B477" s="4" t="s">
        <v>155</v>
      </c>
      <c r="C477" s="6" t="n">
        <v>19.562</v>
      </c>
      <c r="D477" s="4" t="s">
        <v>266</v>
      </c>
      <c r="E477" s="18" t="s">
        <v>273</v>
      </c>
    </row>
    <row r="478" customFormat="false" ht="15" hidden="false" customHeight="false" outlineLevel="0" collapsed="false">
      <c r="A478" s="4" t="s">
        <v>224</v>
      </c>
      <c r="B478" s="4" t="s">
        <v>155</v>
      </c>
      <c r="C478" s="6" t="n">
        <v>28.329</v>
      </c>
      <c r="D478" s="17" t="s">
        <v>265</v>
      </c>
      <c r="E478" s="18" t="s">
        <v>86</v>
      </c>
    </row>
    <row r="479" customFormat="false" ht="15" hidden="false" customHeight="false" outlineLevel="0" collapsed="false">
      <c r="A479" s="4" t="s">
        <v>224</v>
      </c>
      <c r="B479" s="4" t="s">
        <v>155</v>
      </c>
      <c r="C479" s="6" t="n">
        <v>28.335</v>
      </c>
      <c r="D479" s="4" t="s">
        <v>270</v>
      </c>
      <c r="E479" s="18" t="s">
        <v>57</v>
      </c>
    </row>
    <row r="480" customFormat="false" ht="15" hidden="false" customHeight="false" outlineLevel="0" collapsed="false">
      <c r="A480" s="4" t="s">
        <v>224</v>
      </c>
      <c r="B480" s="4" t="s">
        <v>155</v>
      </c>
      <c r="C480" s="6" t="n">
        <v>28.377</v>
      </c>
      <c r="D480" s="4" t="s">
        <v>266</v>
      </c>
      <c r="E480" s="18" t="s">
        <v>274</v>
      </c>
    </row>
    <row r="481" customFormat="false" ht="15" hidden="false" customHeight="false" outlineLevel="0" collapsed="false">
      <c r="A481" s="4" t="s">
        <v>224</v>
      </c>
      <c r="B481" s="4" t="s">
        <v>155</v>
      </c>
      <c r="C481" s="6" t="n">
        <v>33.192</v>
      </c>
      <c r="D481" s="4" t="s">
        <v>266</v>
      </c>
      <c r="E481" s="18" t="s">
        <v>275</v>
      </c>
    </row>
    <row r="482" customFormat="false" ht="15" hidden="false" customHeight="false" outlineLevel="0" collapsed="false">
      <c r="A482" s="4" t="s">
        <v>224</v>
      </c>
      <c r="B482" s="4" t="s">
        <v>155</v>
      </c>
      <c r="C482" s="6" t="n">
        <v>35.847</v>
      </c>
      <c r="D482" s="17" t="s">
        <v>265</v>
      </c>
      <c r="E482" s="18" t="s">
        <v>432</v>
      </c>
    </row>
    <row r="483" customFormat="false" ht="15" hidden="false" customHeight="false" outlineLevel="0" collapsed="false">
      <c r="A483" s="4" t="s">
        <v>224</v>
      </c>
      <c r="B483" s="4" t="s">
        <v>155</v>
      </c>
      <c r="C483" s="6" t="n">
        <v>36.996</v>
      </c>
      <c r="D483" s="4" t="s">
        <v>270</v>
      </c>
      <c r="E483" s="18" t="s">
        <v>281</v>
      </c>
    </row>
    <row r="484" customFormat="false" ht="15" hidden="false" customHeight="false" outlineLevel="0" collapsed="false">
      <c r="A484" s="4" t="s">
        <v>224</v>
      </c>
      <c r="B484" s="4" t="s">
        <v>155</v>
      </c>
      <c r="C484" s="6" t="n">
        <v>41.023</v>
      </c>
      <c r="D484" s="4" t="s">
        <v>266</v>
      </c>
      <c r="E484" s="18" t="s">
        <v>325</v>
      </c>
    </row>
    <row r="485" customFormat="false" ht="15" hidden="false" customHeight="false" outlineLevel="0" collapsed="false">
      <c r="A485" s="4" t="s">
        <v>224</v>
      </c>
      <c r="B485" s="4" t="s">
        <v>155</v>
      </c>
      <c r="C485" s="6" t="n">
        <v>50.663</v>
      </c>
      <c r="D485" s="17" t="s">
        <v>265</v>
      </c>
      <c r="E485" s="18" t="s">
        <v>294</v>
      </c>
    </row>
    <row r="486" customFormat="false" ht="15" hidden="false" customHeight="false" outlineLevel="0" collapsed="false">
      <c r="A486" s="4" t="s">
        <v>224</v>
      </c>
      <c r="B486" s="4" t="s">
        <v>155</v>
      </c>
      <c r="C486" s="6" t="n">
        <v>50.682</v>
      </c>
      <c r="D486" s="4" t="s">
        <v>270</v>
      </c>
      <c r="E486" s="18" t="s">
        <v>277</v>
      </c>
    </row>
    <row r="487" customFormat="false" ht="15" hidden="false" customHeight="false" outlineLevel="0" collapsed="false">
      <c r="A487" s="4" t="s">
        <v>224</v>
      </c>
      <c r="B487" s="4" t="s">
        <v>155</v>
      </c>
      <c r="C487" s="6" t="n">
        <v>50.737</v>
      </c>
      <c r="D487" s="4" t="s">
        <v>266</v>
      </c>
      <c r="E487" s="18" t="s">
        <v>278</v>
      </c>
    </row>
    <row r="488" customFormat="false" ht="15" hidden="false" customHeight="false" outlineLevel="0" collapsed="false">
      <c r="A488" s="4" t="s">
        <v>224</v>
      </c>
      <c r="B488" s="4" t="s">
        <v>155</v>
      </c>
      <c r="C488" s="6" t="n">
        <v>54.869</v>
      </c>
      <c r="D488" s="4" t="s">
        <v>266</v>
      </c>
      <c r="E488" s="18" t="s">
        <v>310</v>
      </c>
    </row>
  </sheetData>
  <autoFilter ref="A1:E4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5"/>
    <col collapsed="false" customWidth="true" hidden="false" outlineLevel="0" max="4" min="4" style="1" width="11"/>
    <col collapsed="false" customWidth="true" hidden="false" outlineLevel="0" max="6" min="5" style="1" width="46"/>
    <col collapsed="false" customWidth="true" hidden="false" outlineLevel="0" max="7" min="7" style="1" width="22"/>
    <col collapsed="false" customWidth="true" hidden="false" outlineLevel="0" max="9" min="8" style="1" width="11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433</v>
      </c>
      <c r="D1" s="2" t="s">
        <v>434</v>
      </c>
      <c r="E1" s="2" t="s">
        <v>435</v>
      </c>
      <c r="F1" s="2" t="s">
        <v>436</v>
      </c>
      <c r="G1" s="2" t="s">
        <v>437</v>
      </c>
      <c r="H1" s="2" t="s">
        <v>438</v>
      </c>
      <c r="I1" s="2" t="s">
        <v>439</v>
      </c>
    </row>
    <row r="2" customFormat="false" ht="15" hidden="false" customHeight="true" outlineLevel="0" collapsed="false">
      <c r="A2" s="4" t="s">
        <v>53</v>
      </c>
      <c r="B2" s="4" t="s">
        <v>36</v>
      </c>
      <c r="C2" s="4" t="n">
        <v>1</v>
      </c>
      <c r="D2" s="6" t="n">
        <v>4.49531531333923</v>
      </c>
      <c r="E2" s="18" t="s">
        <v>62</v>
      </c>
      <c r="F2" s="18" t="s">
        <v>56</v>
      </c>
      <c r="G2" s="4" t="s">
        <v>440</v>
      </c>
      <c r="H2" s="4" t="s">
        <v>441</v>
      </c>
      <c r="I2" s="4"/>
    </row>
    <row r="3" customFormat="false" ht="15" hidden="false" customHeight="true" outlineLevel="0" collapsed="false">
      <c r="A3" s="4" t="s">
        <v>53</v>
      </c>
      <c r="B3" s="4" t="s">
        <v>36</v>
      </c>
      <c r="C3" s="4" t="n">
        <v>2</v>
      </c>
      <c r="D3" s="6" t="n">
        <v>20.8553152084351</v>
      </c>
      <c r="E3" s="18" t="s">
        <v>222</v>
      </c>
      <c r="F3" s="18" t="s">
        <v>86</v>
      </c>
      <c r="G3" s="4" t="s">
        <v>57</v>
      </c>
      <c r="H3" s="4" t="s">
        <v>442</v>
      </c>
      <c r="I3" s="4"/>
    </row>
    <row r="4" customFormat="false" ht="15" hidden="false" customHeight="true" outlineLevel="0" collapsed="false">
      <c r="A4" s="4" t="s">
        <v>53</v>
      </c>
      <c r="B4" s="4" t="s">
        <v>36</v>
      </c>
      <c r="C4" s="4" t="n">
        <v>3</v>
      </c>
      <c r="D4" s="6" t="n">
        <v>34.9433152675629</v>
      </c>
      <c r="E4" s="18" t="s">
        <v>443</v>
      </c>
      <c r="F4" s="18" t="s">
        <v>276</v>
      </c>
      <c r="G4" s="4" t="s">
        <v>277</v>
      </c>
      <c r="H4" s="4" t="s">
        <v>444</v>
      </c>
      <c r="I4" s="4"/>
    </row>
    <row r="5" customFormat="false" ht="15" hidden="false" customHeight="true" outlineLevel="0" collapsed="false">
      <c r="A5" s="4" t="s">
        <v>53</v>
      </c>
      <c r="B5" s="4" t="s">
        <v>36</v>
      </c>
      <c r="C5" s="4" t="n">
        <v>4</v>
      </c>
      <c r="D5" s="6" t="n">
        <v>43.9573152065277</v>
      </c>
      <c r="E5" s="18" t="s">
        <v>445</v>
      </c>
      <c r="F5" s="18" t="s">
        <v>280</v>
      </c>
      <c r="G5" s="4" t="s">
        <v>281</v>
      </c>
      <c r="H5" s="4" t="s">
        <v>446</v>
      </c>
      <c r="I5" s="4"/>
    </row>
    <row r="6" customFormat="false" ht="15" hidden="false" customHeight="true" outlineLevel="0" collapsed="false">
      <c r="A6" s="4" t="s">
        <v>66</v>
      </c>
      <c r="B6" s="4" t="s">
        <v>36</v>
      </c>
      <c r="C6" s="4" t="n">
        <v>1</v>
      </c>
      <c r="D6" s="6" t="n">
        <v>11.7049963474274</v>
      </c>
      <c r="E6" s="18" t="s">
        <v>80</v>
      </c>
      <c r="F6" s="18" t="s">
        <v>69</v>
      </c>
      <c r="G6" s="4" t="s">
        <v>440</v>
      </c>
      <c r="H6" s="4"/>
      <c r="I6" s="4" t="s">
        <v>58</v>
      </c>
    </row>
    <row r="7" customFormat="false" ht="15" hidden="false" customHeight="true" outlineLevel="0" collapsed="false">
      <c r="A7" s="4" t="s">
        <v>66</v>
      </c>
      <c r="B7" s="4" t="s">
        <v>36</v>
      </c>
      <c r="C7" s="4" t="n">
        <v>2</v>
      </c>
      <c r="D7" s="6" t="n">
        <v>21.5759961605072</v>
      </c>
      <c r="E7" s="18" t="s">
        <v>73</v>
      </c>
      <c r="F7" s="18" t="s">
        <v>286</v>
      </c>
      <c r="G7" s="4" t="s">
        <v>440</v>
      </c>
      <c r="H7" s="4" t="s">
        <v>447</v>
      </c>
      <c r="I7" s="4"/>
    </row>
    <row r="8" customFormat="false" ht="15" hidden="false" customHeight="true" outlineLevel="0" collapsed="false">
      <c r="A8" s="4" t="s">
        <v>66</v>
      </c>
      <c r="B8" s="4" t="s">
        <v>36</v>
      </c>
      <c r="C8" s="4" t="n">
        <v>3</v>
      </c>
      <c r="D8" s="6" t="n">
        <v>35.0689961910248</v>
      </c>
      <c r="E8" s="18" t="s">
        <v>448</v>
      </c>
      <c r="F8" s="18" t="s">
        <v>291</v>
      </c>
      <c r="G8" s="4" t="s">
        <v>71</v>
      </c>
      <c r="H8" s="4" t="s">
        <v>449</v>
      </c>
      <c r="I8" s="4"/>
    </row>
    <row r="9" customFormat="false" ht="15" hidden="false" customHeight="true" outlineLevel="0" collapsed="false">
      <c r="A9" s="4" t="s">
        <v>66</v>
      </c>
      <c r="B9" s="4" t="s">
        <v>36</v>
      </c>
      <c r="C9" s="4" t="n">
        <v>4</v>
      </c>
      <c r="D9" s="6" t="n">
        <v>47.2689962387085</v>
      </c>
      <c r="E9" s="18" t="s">
        <v>443</v>
      </c>
      <c r="F9" s="18" t="s">
        <v>294</v>
      </c>
      <c r="G9" s="4" t="s">
        <v>277</v>
      </c>
      <c r="H9" s="4" t="s">
        <v>450</v>
      </c>
      <c r="I9" s="4"/>
    </row>
    <row r="10" customFormat="false" ht="15" hidden="false" customHeight="true" outlineLevel="0" collapsed="false">
      <c r="A10" s="4" t="s">
        <v>66</v>
      </c>
      <c r="B10" s="4" t="s">
        <v>36</v>
      </c>
      <c r="C10" s="4" t="n">
        <v>5</v>
      </c>
      <c r="D10" s="6" t="n">
        <v>56.8929963111877</v>
      </c>
      <c r="E10" s="18" t="s">
        <v>445</v>
      </c>
      <c r="F10" s="18" t="s">
        <v>280</v>
      </c>
      <c r="G10" s="4" t="s">
        <v>281</v>
      </c>
      <c r="H10" s="4" t="s">
        <v>451</v>
      </c>
      <c r="I10" s="4"/>
    </row>
    <row r="11" customFormat="false" ht="15" hidden="false" customHeight="true" outlineLevel="0" collapsed="false">
      <c r="A11" s="4" t="s">
        <v>75</v>
      </c>
      <c r="B11" s="4" t="s">
        <v>36</v>
      </c>
      <c r="C11" s="4" t="n">
        <v>1</v>
      </c>
      <c r="D11" s="6" t="n">
        <v>4.32517600059509</v>
      </c>
      <c r="E11" s="18" t="s">
        <v>80</v>
      </c>
      <c r="F11" s="18" t="s">
        <v>69</v>
      </c>
      <c r="G11" s="4" t="s">
        <v>440</v>
      </c>
      <c r="H11" s="4" t="s">
        <v>452</v>
      </c>
      <c r="I11" s="4"/>
    </row>
    <row r="12" customFormat="false" ht="15" hidden="false" customHeight="true" outlineLevel="0" collapsed="false">
      <c r="A12" s="4" t="s">
        <v>75</v>
      </c>
      <c r="B12" s="4" t="s">
        <v>36</v>
      </c>
      <c r="C12" s="4" t="n">
        <v>2</v>
      </c>
      <c r="D12" s="6" t="n">
        <v>26.3891761302948</v>
      </c>
      <c r="E12" s="18" t="s">
        <v>222</v>
      </c>
      <c r="F12" s="18" t="s">
        <v>86</v>
      </c>
      <c r="G12" s="4" t="s">
        <v>57</v>
      </c>
      <c r="H12" s="4" t="s">
        <v>453</v>
      </c>
      <c r="I12" s="4"/>
    </row>
    <row r="13" customFormat="false" ht="15" hidden="false" customHeight="true" outlineLevel="0" collapsed="false">
      <c r="A13" s="4" t="s">
        <v>75</v>
      </c>
      <c r="B13" s="4" t="s">
        <v>36</v>
      </c>
      <c r="C13" s="4" t="n">
        <v>3</v>
      </c>
      <c r="D13" s="6" t="n">
        <v>40.2111759185791</v>
      </c>
      <c r="E13" s="18" t="s">
        <v>443</v>
      </c>
      <c r="F13" s="18" t="s">
        <v>296</v>
      </c>
      <c r="G13" s="4" t="s">
        <v>277</v>
      </c>
      <c r="H13" s="4" t="s">
        <v>454</v>
      </c>
      <c r="I13" s="4"/>
    </row>
    <row r="14" customFormat="false" ht="15" hidden="false" customHeight="true" outlineLevel="0" collapsed="false">
      <c r="A14" s="4" t="s">
        <v>75</v>
      </c>
      <c r="B14" s="4" t="s">
        <v>36</v>
      </c>
      <c r="C14" s="4" t="n">
        <v>4</v>
      </c>
      <c r="D14" s="6" t="n">
        <v>48.1921761035919</v>
      </c>
      <c r="E14" s="18" t="s">
        <v>445</v>
      </c>
      <c r="F14" s="18" t="s">
        <v>297</v>
      </c>
      <c r="G14" s="4" t="s">
        <v>281</v>
      </c>
      <c r="H14" s="4" t="s">
        <v>455</v>
      </c>
      <c r="I14" s="4"/>
    </row>
    <row r="15" customFormat="false" ht="15" hidden="false" customHeight="true" outlineLevel="0" collapsed="false">
      <c r="A15" s="4" t="s">
        <v>82</v>
      </c>
      <c r="B15" s="4" t="s">
        <v>36</v>
      </c>
      <c r="C15" s="4" t="n">
        <v>1</v>
      </c>
      <c r="D15" s="6" t="n">
        <v>-0.225819587707519</v>
      </c>
      <c r="E15" s="18" t="s">
        <v>62</v>
      </c>
      <c r="F15" s="18" t="s">
        <v>456</v>
      </c>
      <c r="G15" s="4" t="s">
        <v>440</v>
      </c>
      <c r="H15" s="4" t="s">
        <v>457</v>
      </c>
      <c r="I15" s="4"/>
    </row>
    <row r="16" customFormat="false" ht="15" hidden="false" customHeight="true" outlineLevel="0" collapsed="false">
      <c r="A16" s="4" t="s">
        <v>82</v>
      </c>
      <c r="B16" s="4" t="s">
        <v>36</v>
      </c>
      <c r="C16" s="4" t="n">
        <v>2</v>
      </c>
      <c r="D16" s="6" t="n">
        <v>27.6293661594391</v>
      </c>
      <c r="E16" s="18" t="s">
        <v>222</v>
      </c>
      <c r="F16" s="18" t="s">
        <v>86</v>
      </c>
      <c r="G16" s="4" t="s">
        <v>57</v>
      </c>
      <c r="H16" s="4" t="s">
        <v>458</v>
      </c>
      <c r="I16" s="4"/>
    </row>
    <row r="17" customFormat="false" ht="15" hidden="false" customHeight="true" outlineLevel="0" collapsed="false">
      <c r="A17" s="4" t="s">
        <v>82</v>
      </c>
      <c r="B17" s="4" t="s">
        <v>36</v>
      </c>
      <c r="C17" s="4" t="n">
        <v>3</v>
      </c>
      <c r="D17" s="6" t="n">
        <v>43.8613660335541</v>
      </c>
      <c r="E17" s="18" t="s">
        <v>443</v>
      </c>
      <c r="F17" s="18" t="s">
        <v>298</v>
      </c>
      <c r="G17" s="4" t="s">
        <v>277</v>
      </c>
      <c r="H17" s="4" t="s">
        <v>459</v>
      </c>
      <c r="I17" s="4"/>
    </row>
    <row r="18" customFormat="false" ht="15" hidden="false" customHeight="true" outlineLevel="0" collapsed="false">
      <c r="A18" s="4" t="s">
        <v>260</v>
      </c>
      <c r="B18" s="4" t="s">
        <v>36</v>
      </c>
      <c r="C18" s="4" t="n">
        <v>1</v>
      </c>
      <c r="D18" s="6" t="n">
        <v>8.60157752037048</v>
      </c>
      <c r="E18" s="18" t="s">
        <v>102</v>
      </c>
      <c r="F18" s="18" t="s">
        <v>98</v>
      </c>
      <c r="G18" s="4" t="s">
        <v>440</v>
      </c>
      <c r="H18" s="4" t="s">
        <v>460</v>
      </c>
      <c r="I18" s="4"/>
    </row>
    <row r="19" customFormat="false" ht="15" hidden="false" customHeight="true" outlineLevel="0" collapsed="false">
      <c r="A19" s="4" t="s">
        <v>260</v>
      </c>
      <c r="B19" s="4" t="s">
        <v>36</v>
      </c>
      <c r="C19" s="4" t="n">
        <v>2</v>
      </c>
      <c r="D19" s="6" t="n">
        <v>33.0625774860382</v>
      </c>
      <c r="E19" s="18" t="s">
        <v>445</v>
      </c>
      <c r="F19" s="18" t="s">
        <v>306</v>
      </c>
      <c r="G19" s="4" t="s">
        <v>281</v>
      </c>
      <c r="H19" s="4" t="s">
        <v>461</v>
      </c>
      <c r="I19" s="4"/>
    </row>
    <row r="20" customFormat="false" ht="15" hidden="false" customHeight="true" outlineLevel="0" collapsed="false">
      <c r="A20" s="4" t="s">
        <v>260</v>
      </c>
      <c r="B20" s="4" t="s">
        <v>36</v>
      </c>
      <c r="C20" s="4" t="n">
        <v>3</v>
      </c>
      <c r="D20" s="6" t="n">
        <v>34.5415775775909</v>
      </c>
      <c r="E20" s="18" t="s">
        <v>445</v>
      </c>
      <c r="F20" s="18" t="s">
        <v>307</v>
      </c>
      <c r="G20" s="4" t="s">
        <v>281</v>
      </c>
      <c r="H20" s="4" t="s">
        <v>462</v>
      </c>
      <c r="I20" s="4"/>
    </row>
    <row r="21" customFormat="false" ht="15" hidden="false" customHeight="true" outlineLevel="0" collapsed="false">
      <c r="A21" s="4" t="s">
        <v>260</v>
      </c>
      <c r="B21" s="4" t="s">
        <v>36</v>
      </c>
      <c r="C21" s="4" t="n">
        <v>4</v>
      </c>
      <c r="D21" s="6" t="n">
        <v>48.7405774593353</v>
      </c>
      <c r="E21" s="18" t="s">
        <v>443</v>
      </c>
      <c r="F21" s="18" t="s">
        <v>309</v>
      </c>
      <c r="G21" s="4" t="s">
        <v>277</v>
      </c>
      <c r="H21" s="4" t="s">
        <v>463</v>
      </c>
      <c r="I21" s="4"/>
    </row>
    <row r="22" customFormat="false" ht="15" hidden="false" customHeight="true" outlineLevel="0" collapsed="false">
      <c r="A22" s="4" t="s">
        <v>97</v>
      </c>
      <c r="B22" s="4" t="s">
        <v>36</v>
      </c>
      <c r="C22" s="4" t="n">
        <v>1</v>
      </c>
      <c r="D22" s="6" t="n">
        <v>7.80811095237732</v>
      </c>
      <c r="E22" s="18" t="s">
        <v>102</v>
      </c>
      <c r="F22" s="18" t="s">
        <v>98</v>
      </c>
      <c r="G22" s="4" t="s">
        <v>440</v>
      </c>
      <c r="H22" s="4" t="s">
        <v>464</v>
      </c>
      <c r="I22" s="4"/>
    </row>
    <row r="23" customFormat="false" ht="15" hidden="false" customHeight="true" outlineLevel="0" collapsed="false">
      <c r="A23" s="4" t="s">
        <v>97</v>
      </c>
      <c r="B23" s="4" t="s">
        <v>36</v>
      </c>
      <c r="C23" s="4" t="n">
        <v>2</v>
      </c>
      <c r="D23" s="6" t="n">
        <v>22.4191107749939</v>
      </c>
      <c r="E23" s="18" t="s">
        <v>448</v>
      </c>
      <c r="F23" s="18" t="s">
        <v>291</v>
      </c>
      <c r="G23" s="4" t="s">
        <v>71</v>
      </c>
      <c r="H23" s="4" t="s">
        <v>465</v>
      </c>
      <c r="I23" s="4"/>
    </row>
    <row r="24" customFormat="false" ht="15" hidden="false" customHeight="true" outlineLevel="0" collapsed="false">
      <c r="A24" s="4" t="s">
        <v>97</v>
      </c>
      <c r="B24" s="4" t="s">
        <v>36</v>
      </c>
      <c r="C24" s="4" t="n">
        <v>3</v>
      </c>
      <c r="D24" s="6" t="n">
        <v>34.4641108512878</v>
      </c>
      <c r="E24" s="18" t="s">
        <v>443</v>
      </c>
      <c r="F24" s="18" t="s">
        <v>296</v>
      </c>
      <c r="G24" s="4" t="s">
        <v>277</v>
      </c>
      <c r="H24" s="4" t="s">
        <v>466</v>
      </c>
      <c r="I24" s="4"/>
    </row>
    <row r="25" customFormat="false" ht="15" hidden="false" customHeight="true" outlineLevel="0" collapsed="false">
      <c r="A25" s="4" t="s">
        <v>97</v>
      </c>
      <c r="B25" s="4" t="s">
        <v>36</v>
      </c>
      <c r="C25" s="4" t="n">
        <v>4</v>
      </c>
      <c r="D25" s="6" t="n">
        <v>41.7531108856201</v>
      </c>
      <c r="E25" s="18" t="s">
        <v>445</v>
      </c>
      <c r="F25" s="18" t="s">
        <v>297</v>
      </c>
      <c r="G25" s="4" t="s">
        <v>281</v>
      </c>
      <c r="H25" s="4" t="s">
        <v>467</v>
      </c>
      <c r="I25" s="4"/>
    </row>
    <row r="26" customFormat="false" ht="15" hidden="false" customHeight="true" outlineLevel="0" collapsed="false">
      <c r="A26" s="4" t="s">
        <v>104</v>
      </c>
      <c r="B26" s="4" t="s">
        <v>36</v>
      </c>
      <c r="C26" s="4" t="n">
        <v>1</v>
      </c>
      <c r="D26" s="6" t="n">
        <v>7.29112315177918</v>
      </c>
      <c r="E26" s="18" t="s">
        <v>80</v>
      </c>
      <c r="F26" s="18" t="s">
        <v>105</v>
      </c>
      <c r="G26" s="4" t="s">
        <v>440</v>
      </c>
      <c r="H26" s="4" t="s">
        <v>468</v>
      </c>
      <c r="I26" s="4"/>
    </row>
    <row r="27" customFormat="false" ht="15" hidden="false" customHeight="true" outlineLevel="0" collapsed="false">
      <c r="A27" s="4" t="s">
        <v>104</v>
      </c>
      <c r="B27" s="4" t="s">
        <v>36</v>
      </c>
      <c r="C27" s="4" t="n">
        <v>2</v>
      </c>
      <c r="D27" s="6" t="n">
        <v>28.8031232357025</v>
      </c>
      <c r="E27" s="18" t="s">
        <v>222</v>
      </c>
      <c r="F27" s="18" t="s">
        <v>86</v>
      </c>
      <c r="G27" s="4" t="s">
        <v>57</v>
      </c>
      <c r="H27" s="4" t="s">
        <v>469</v>
      </c>
      <c r="I27" s="4"/>
    </row>
    <row r="28" customFormat="false" ht="15" hidden="false" customHeight="true" outlineLevel="0" collapsed="false">
      <c r="A28" s="4" t="s">
        <v>104</v>
      </c>
      <c r="B28" s="4" t="s">
        <v>36</v>
      </c>
      <c r="C28" s="4" t="n">
        <v>3</v>
      </c>
      <c r="D28" s="6" t="n">
        <v>42.4861233234406</v>
      </c>
      <c r="E28" s="18" t="s">
        <v>470</v>
      </c>
      <c r="F28" s="18" t="s">
        <v>312</v>
      </c>
      <c r="G28" s="4" t="s">
        <v>313</v>
      </c>
      <c r="H28" s="4" t="s">
        <v>471</v>
      </c>
      <c r="I28" s="4"/>
    </row>
    <row r="29" customFormat="false" ht="15" hidden="false" customHeight="true" outlineLevel="0" collapsed="false">
      <c r="A29" s="4" t="s">
        <v>109</v>
      </c>
      <c r="B29" s="4" t="s">
        <v>36</v>
      </c>
      <c r="C29" s="4" t="n">
        <v>1</v>
      </c>
      <c r="D29" s="6" t="n">
        <v>5.04200172424316</v>
      </c>
      <c r="E29" s="18" t="s">
        <v>80</v>
      </c>
      <c r="F29" s="18" t="s">
        <v>69</v>
      </c>
      <c r="G29" s="4" t="s">
        <v>440</v>
      </c>
      <c r="H29" s="4"/>
      <c r="I29" s="4" t="s">
        <v>58</v>
      </c>
    </row>
    <row r="30" customFormat="false" ht="15" hidden="false" customHeight="true" outlineLevel="0" collapsed="false">
      <c r="A30" s="4" t="s">
        <v>109</v>
      </c>
      <c r="B30" s="4" t="s">
        <v>36</v>
      </c>
      <c r="C30" s="4" t="n">
        <v>2</v>
      </c>
      <c r="D30" s="6" t="n">
        <v>15.1720016002655</v>
      </c>
      <c r="E30" s="18" t="s">
        <v>112</v>
      </c>
      <c r="F30" s="18" t="s">
        <v>314</v>
      </c>
      <c r="G30" s="4" t="s">
        <v>440</v>
      </c>
      <c r="H30" s="4" t="s">
        <v>472</v>
      </c>
      <c r="I30" s="4"/>
    </row>
    <row r="31" customFormat="false" ht="15" hidden="false" customHeight="true" outlineLevel="0" collapsed="false">
      <c r="A31" s="4" t="s">
        <v>109</v>
      </c>
      <c r="B31" s="4" t="s">
        <v>36</v>
      </c>
      <c r="C31" s="4" t="n">
        <v>3</v>
      </c>
      <c r="D31" s="6" t="n">
        <v>27.3150017261505</v>
      </c>
      <c r="E31" s="18" t="s">
        <v>445</v>
      </c>
      <c r="F31" s="18" t="s">
        <v>306</v>
      </c>
      <c r="G31" s="4" t="s">
        <v>281</v>
      </c>
      <c r="H31" s="4" t="s">
        <v>473</v>
      </c>
      <c r="I31" s="4"/>
    </row>
    <row r="32" customFormat="false" ht="15" hidden="false" customHeight="true" outlineLevel="0" collapsed="false">
      <c r="A32" s="4" t="s">
        <v>109</v>
      </c>
      <c r="B32" s="4" t="s">
        <v>36</v>
      </c>
      <c r="C32" s="4" t="n">
        <v>4</v>
      </c>
      <c r="D32" s="6" t="n">
        <v>41.6840016841888</v>
      </c>
      <c r="E32" s="18" t="s">
        <v>443</v>
      </c>
      <c r="F32" s="18" t="s">
        <v>294</v>
      </c>
      <c r="G32" s="4" t="s">
        <v>277</v>
      </c>
      <c r="H32" s="4" t="s">
        <v>474</v>
      </c>
      <c r="I32" s="4"/>
    </row>
    <row r="33" customFormat="false" ht="15" hidden="false" customHeight="true" outlineLevel="0" collapsed="false">
      <c r="A33" s="4" t="s">
        <v>114</v>
      </c>
      <c r="B33" s="4" t="s">
        <v>36</v>
      </c>
      <c r="C33" s="4" t="n">
        <v>1</v>
      </c>
      <c r="D33" s="6" t="n">
        <v>7.77984356880188</v>
      </c>
      <c r="E33" s="18" t="s">
        <v>102</v>
      </c>
      <c r="F33" s="18" t="s">
        <v>115</v>
      </c>
      <c r="G33" s="4" t="s">
        <v>440</v>
      </c>
      <c r="H33" s="4" t="s">
        <v>475</v>
      </c>
      <c r="I33" s="4"/>
    </row>
    <row r="34" customFormat="false" ht="15" hidden="false" customHeight="true" outlineLevel="0" collapsed="false">
      <c r="A34" s="4" t="s">
        <v>114</v>
      </c>
      <c r="B34" s="4" t="s">
        <v>36</v>
      </c>
      <c r="C34" s="4" t="n">
        <v>2</v>
      </c>
      <c r="D34" s="6" t="n">
        <v>20.2298436164856</v>
      </c>
      <c r="E34" s="18" t="s">
        <v>222</v>
      </c>
      <c r="F34" s="18" t="s">
        <v>318</v>
      </c>
      <c r="G34" s="4" t="s">
        <v>57</v>
      </c>
      <c r="H34" s="4" t="s">
        <v>476</v>
      </c>
      <c r="I34" s="4"/>
    </row>
    <row r="35" customFormat="false" ht="15" hidden="false" customHeight="true" outlineLevel="0" collapsed="false">
      <c r="A35" s="4" t="s">
        <v>114</v>
      </c>
      <c r="B35" s="4" t="s">
        <v>36</v>
      </c>
      <c r="C35" s="4" t="n">
        <v>3</v>
      </c>
      <c r="D35" s="6" t="n">
        <v>30.9668436050415</v>
      </c>
      <c r="E35" s="18" t="s">
        <v>443</v>
      </c>
      <c r="F35" s="18" t="s">
        <v>320</v>
      </c>
      <c r="G35" s="4" t="s">
        <v>277</v>
      </c>
      <c r="H35" s="4" t="s">
        <v>477</v>
      </c>
      <c r="I35" s="4"/>
    </row>
    <row r="36" customFormat="false" ht="15" hidden="false" customHeight="true" outlineLevel="0" collapsed="false">
      <c r="A36" s="4" t="s">
        <v>114</v>
      </c>
      <c r="B36" s="4" t="s">
        <v>36</v>
      </c>
      <c r="C36" s="4" t="n">
        <v>4</v>
      </c>
      <c r="D36" s="6" t="n">
        <v>44.4828436374664</v>
      </c>
      <c r="E36" s="18" t="s">
        <v>445</v>
      </c>
      <c r="F36" s="18" t="s">
        <v>323</v>
      </c>
      <c r="G36" s="4" t="s">
        <v>281</v>
      </c>
      <c r="H36" s="4" t="s">
        <v>478</v>
      </c>
      <c r="I36" s="4"/>
    </row>
    <row r="37" customFormat="false" ht="15" hidden="false" customHeight="true" outlineLevel="0" collapsed="false">
      <c r="A37" s="4" t="s">
        <v>118</v>
      </c>
      <c r="B37" s="4" t="s">
        <v>36</v>
      </c>
      <c r="C37" s="4" t="n">
        <v>1</v>
      </c>
      <c r="D37" s="6" t="n">
        <v>14.2186198234558</v>
      </c>
      <c r="E37" s="18" t="s">
        <v>62</v>
      </c>
      <c r="F37" s="18" t="s">
        <v>119</v>
      </c>
      <c r="G37" s="4" t="s">
        <v>440</v>
      </c>
      <c r="H37" s="4" t="s">
        <v>479</v>
      </c>
      <c r="I37" s="4"/>
    </row>
    <row r="38" customFormat="false" ht="15" hidden="false" customHeight="true" outlineLevel="0" collapsed="false">
      <c r="A38" s="4" t="s">
        <v>118</v>
      </c>
      <c r="B38" s="4" t="s">
        <v>36</v>
      </c>
      <c r="C38" s="4" t="n">
        <v>2</v>
      </c>
      <c r="D38" s="6" t="n">
        <v>29.5486197471619</v>
      </c>
      <c r="E38" s="18" t="s">
        <v>445</v>
      </c>
      <c r="F38" s="18" t="s">
        <v>324</v>
      </c>
      <c r="G38" s="4" t="s">
        <v>281</v>
      </c>
      <c r="H38" s="4" t="s">
        <v>480</v>
      </c>
      <c r="I38" s="4"/>
    </row>
    <row r="39" customFormat="false" ht="15" hidden="false" customHeight="true" outlineLevel="0" collapsed="false">
      <c r="A39" s="4" t="s">
        <v>118</v>
      </c>
      <c r="B39" s="4" t="s">
        <v>36</v>
      </c>
      <c r="C39" s="4" t="n">
        <v>3</v>
      </c>
      <c r="D39" s="6" t="n">
        <v>42.6836197376251</v>
      </c>
      <c r="E39" s="18" t="s">
        <v>443</v>
      </c>
      <c r="F39" s="18" t="s">
        <v>326</v>
      </c>
      <c r="G39" s="4" t="s">
        <v>277</v>
      </c>
      <c r="H39" s="4" t="s">
        <v>481</v>
      </c>
      <c r="I39" s="4"/>
    </row>
    <row r="40" customFormat="false" ht="15" hidden="false" customHeight="true" outlineLevel="0" collapsed="false">
      <c r="A40" s="4" t="s">
        <v>122</v>
      </c>
      <c r="B40" s="4" t="s">
        <v>36</v>
      </c>
      <c r="C40" s="4" t="n">
        <v>1</v>
      </c>
      <c r="D40" s="6" t="n">
        <v>12.2282764911652</v>
      </c>
      <c r="E40" s="18" t="s">
        <v>80</v>
      </c>
      <c r="F40" s="18" t="s">
        <v>124</v>
      </c>
      <c r="G40" s="4" t="s">
        <v>440</v>
      </c>
      <c r="H40" s="4"/>
      <c r="I40" s="4" t="s">
        <v>58</v>
      </c>
    </row>
    <row r="41" customFormat="false" ht="15" hidden="false" customHeight="true" outlineLevel="0" collapsed="false">
      <c r="A41" s="4" t="s">
        <v>122</v>
      </c>
      <c r="B41" s="4" t="s">
        <v>36</v>
      </c>
      <c r="C41" s="4" t="n">
        <v>2</v>
      </c>
      <c r="D41" s="6" t="n">
        <v>29.0832765102386</v>
      </c>
      <c r="E41" s="18" t="s">
        <v>73</v>
      </c>
      <c r="F41" s="18" t="s">
        <v>329</v>
      </c>
      <c r="G41" s="4" t="s">
        <v>440</v>
      </c>
      <c r="H41" s="4" t="s">
        <v>482</v>
      </c>
      <c r="I41" s="4"/>
    </row>
    <row r="42" customFormat="false" ht="15" hidden="false" customHeight="true" outlineLevel="0" collapsed="false">
      <c r="A42" s="4" t="s">
        <v>122</v>
      </c>
      <c r="B42" s="4" t="s">
        <v>36</v>
      </c>
      <c r="C42" s="4" t="n">
        <v>3</v>
      </c>
      <c r="D42" s="6" t="n">
        <v>42.8252766132355</v>
      </c>
      <c r="E42" s="18" t="s">
        <v>222</v>
      </c>
      <c r="F42" s="18" t="s">
        <v>331</v>
      </c>
      <c r="G42" s="4" t="s">
        <v>57</v>
      </c>
      <c r="H42" s="4" t="s">
        <v>483</v>
      </c>
      <c r="I42" s="4"/>
    </row>
    <row r="43" customFormat="false" ht="15" hidden="false" customHeight="true" outlineLevel="0" collapsed="false">
      <c r="A43" s="4" t="s">
        <v>122</v>
      </c>
      <c r="B43" s="4" t="s">
        <v>36</v>
      </c>
      <c r="C43" s="4" t="n">
        <v>4</v>
      </c>
      <c r="D43" s="6" t="n">
        <v>54.305276632309</v>
      </c>
      <c r="E43" s="18" t="s">
        <v>484</v>
      </c>
      <c r="F43" s="18" t="s">
        <v>332</v>
      </c>
      <c r="G43" s="4" t="s">
        <v>333</v>
      </c>
      <c r="H43" s="4" t="s">
        <v>485</v>
      </c>
      <c r="I43" s="4"/>
    </row>
    <row r="44" customFormat="false" ht="15" hidden="false" customHeight="true" outlineLevel="0" collapsed="false">
      <c r="A44" s="4" t="s">
        <v>122</v>
      </c>
      <c r="B44" s="4" t="s">
        <v>36</v>
      </c>
      <c r="C44" s="4" t="n">
        <v>5</v>
      </c>
      <c r="D44" s="6" t="n">
        <v>57.0312764644623</v>
      </c>
      <c r="E44" s="18" t="s">
        <v>448</v>
      </c>
      <c r="F44" s="18" t="s">
        <v>335</v>
      </c>
      <c r="G44" s="4" t="s">
        <v>71</v>
      </c>
      <c r="H44" s="4" t="s">
        <v>486</v>
      </c>
      <c r="I44" s="4"/>
    </row>
    <row r="45" customFormat="false" ht="15" hidden="false" customHeight="true" outlineLevel="0" collapsed="false">
      <c r="A45" s="4" t="s">
        <v>122</v>
      </c>
      <c r="B45" s="4" t="s">
        <v>36</v>
      </c>
      <c r="C45" s="4" t="n">
        <v>6</v>
      </c>
      <c r="D45" s="6" t="n">
        <v>70.9572765827179</v>
      </c>
      <c r="E45" s="18" t="s">
        <v>443</v>
      </c>
      <c r="F45" s="18" t="s">
        <v>321</v>
      </c>
      <c r="G45" s="4" t="s">
        <v>277</v>
      </c>
      <c r="H45" s="4" t="s">
        <v>487</v>
      </c>
      <c r="I45" s="4"/>
    </row>
    <row r="46" customFormat="false" ht="15" hidden="false" customHeight="true" outlineLevel="0" collapsed="false">
      <c r="A46" s="4" t="s">
        <v>122</v>
      </c>
      <c r="B46" s="4" t="s">
        <v>36</v>
      </c>
      <c r="C46" s="4" t="n">
        <v>7</v>
      </c>
      <c r="D46" s="6" t="n">
        <v>88.8502764701843</v>
      </c>
      <c r="E46" s="18" t="s">
        <v>445</v>
      </c>
      <c r="F46" s="18" t="s">
        <v>307</v>
      </c>
      <c r="G46" s="4" t="s">
        <v>281</v>
      </c>
      <c r="H46" s="4" t="s">
        <v>488</v>
      </c>
      <c r="I46" s="4"/>
    </row>
    <row r="47" customFormat="false" ht="15" hidden="false" customHeight="true" outlineLevel="0" collapsed="false">
      <c r="A47" s="4" t="s">
        <v>154</v>
      </c>
      <c r="B47" s="4" t="s">
        <v>155</v>
      </c>
      <c r="C47" s="4" t="n">
        <v>1</v>
      </c>
      <c r="D47" s="6" t="n">
        <v>9.97089314460754</v>
      </c>
      <c r="E47" s="18" t="s">
        <v>157</v>
      </c>
      <c r="F47" s="18" t="s">
        <v>156</v>
      </c>
      <c r="G47" s="4" t="s">
        <v>363</v>
      </c>
      <c r="H47" s="4"/>
      <c r="I47" s="4"/>
    </row>
    <row r="48" customFormat="false" ht="15" hidden="false" customHeight="true" outlineLevel="0" collapsed="false">
      <c r="A48" s="4" t="s">
        <v>154</v>
      </c>
      <c r="B48" s="4" t="s">
        <v>155</v>
      </c>
      <c r="C48" s="4" t="n">
        <v>2</v>
      </c>
      <c r="D48" s="6" t="n">
        <v>9.97889304161072</v>
      </c>
      <c r="E48" s="18" t="s">
        <v>445</v>
      </c>
      <c r="F48" s="18" t="s">
        <v>156</v>
      </c>
      <c r="G48" s="4" t="s">
        <v>281</v>
      </c>
      <c r="H48" s="4" t="s">
        <v>489</v>
      </c>
      <c r="I48" s="4"/>
    </row>
    <row r="49" customFormat="false" ht="15" hidden="false" customHeight="true" outlineLevel="0" collapsed="false">
      <c r="A49" s="4" t="s">
        <v>154</v>
      </c>
      <c r="B49" s="4" t="s">
        <v>155</v>
      </c>
      <c r="C49" s="4" t="n">
        <v>3</v>
      </c>
      <c r="D49" s="6" t="n">
        <v>29.0148930549622</v>
      </c>
      <c r="E49" s="18" t="s">
        <v>222</v>
      </c>
      <c r="F49" s="18" t="s">
        <v>366</v>
      </c>
      <c r="G49" s="4" t="s">
        <v>57</v>
      </c>
      <c r="H49" s="4" t="s">
        <v>490</v>
      </c>
      <c r="I49" s="4"/>
    </row>
    <row r="50" customFormat="false" ht="15" hidden="false" customHeight="true" outlineLevel="0" collapsed="false">
      <c r="A50" s="4" t="s">
        <v>154</v>
      </c>
      <c r="B50" s="4" t="s">
        <v>155</v>
      </c>
      <c r="C50" s="4" t="n">
        <v>4</v>
      </c>
      <c r="D50" s="6" t="n">
        <v>45.5358929634094</v>
      </c>
      <c r="E50" s="18" t="s">
        <v>445</v>
      </c>
      <c r="F50" s="18" t="s">
        <v>367</v>
      </c>
      <c r="G50" s="4" t="s">
        <v>281</v>
      </c>
      <c r="H50" s="4" t="s">
        <v>491</v>
      </c>
      <c r="I50" s="4"/>
    </row>
    <row r="51" customFormat="false" ht="15" hidden="false" customHeight="true" outlineLevel="0" collapsed="false">
      <c r="A51" s="4" t="s">
        <v>159</v>
      </c>
      <c r="B51" s="4" t="s">
        <v>155</v>
      </c>
      <c r="C51" s="4" t="n">
        <v>1</v>
      </c>
      <c r="D51" s="6" t="n">
        <v>10.1900835037231</v>
      </c>
      <c r="E51" s="18" t="s">
        <v>161</v>
      </c>
      <c r="F51" s="18" t="s">
        <v>160</v>
      </c>
      <c r="G51" s="4" t="s">
        <v>362</v>
      </c>
      <c r="H51" s="4" t="s">
        <v>492</v>
      </c>
      <c r="I51" s="4"/>
    </row>
    <row r="52" customFormat="false" ht="15" hidden="false" customHeight="true" outlineLevel="0" collapsed="false">
      <c r="A52" s="4" t="s">
        <v>159</v>
      </c>
      <c r="B52" s="4" t="s">
        <v>155</v>
      </c>
      <c r="C52" s="4" t="n">
        <v>2</v>
      </c>
      <c r="D52" s="6" t="n">
        <v>10.3950834274292</v>
      </c>
      <c r="E52" s="18" t="s">
        <v>222</v>
      </c>
      <c r="F52" s="18" t="s">
        <v>160</v>
      </c>
      <c r="G52" s="4" t="s">
        <v>57</v>
      </c>
      <c r="H52" s="4" t="s">
        <v>493</v>
      </c>
      <c r="I52" s="4"/>
    </row>
    <row r="53" customFormat="false" ht="15" hidden="false" customHeight="true" outlineLevel="0" collapsed="false">
      <c r="A53" s="4" t="s">
        <v>163</v>
      </c>
      <c r="B53" s="4" t="s">
        <v>155</v>
      </c>
      <c r="C53" s="4" t="n">
        <v>1</v>
      </c>
      <c r="D53" s="6" t="n">
        <v>1.51481914520264</v>
      </c>
      <c r="E53" s="18" t="s">
        <v>102</v>
      </c>
      <c r="F53" s="18" t="s">
        <v>456</v>
      </c>
      <c r="G53" s="4" t="s">
        <v>440</v>
      </c>
      <c r="H53" s="4"/>
      <c r="I53" s="4" t="s">
        <v>58</v>
      </c>
    </row>
    <row r="54" customFormat="false" ht="15" hidden="false" customHeight="true" outlineLevel="0" collapsed="false">
      <c r="A54" s="4" t="s">
        <v>163</v>
      </c>
      <c r="B54" s="4" t="s">
        <v>155</v>
      </c>
      <c r="C54" s="4" t="n">
        <v>2</v>
      </c>
      <c r="D54" s="6" t="n">
        <v>14.313355922699</v>
      </c>
      <c r="E54" s="18" t="s">
        <v>102</v>
      </c>
      <c r="F54" s="18" t="s">
        <v>164</v>
      </c>
      <c r="G54" s="4" t="s">
        <v>440</v>
      </c>
      <c r="H54" s="4" t="s">
        <v>494</v>
      </c>
      <c r="I54" s="4"/>
    </row>
    <row r="55" customFormat="false" ht="15" hidden="false" customHeight="true" outlineLevel="0" collapsed="false">
      <c r="A55" s="4" t="s">
        <v>163</v>
      </c>
      <c r="B55" s="4" t="s">
        <v>155</v>
      </c>
      <c r="C55" s="4" t="n">
        <v>3</v>
      </c>
      <c r="D55" s="6" t="n">
        <v>40.8863561153412</v>
      </c>
      <c r="E55" s="18" t="s">
        <v>495</v>
      </c>
      <c r="F55" s="18" t="s">
        <v>371</v>
      </c>
      <c r="G55" s="4" t="s">
        <v>496</v>
      </c>
      <c r="H55" s="4" t="s">
        <v>497</v>
      </c>
      <c r="I55" s="4"/>
    </row>
    <row r="56" customFormat="false" ht="15" hidden="false" customHeight="true" outlineLevel="0" collapsed="false">
      <c r="A56" s="4" t="s">
        <v>174</v>
      </c>
      <c r="B56" s="4" t="s">
        <v>155</v>
      </c>
      <c r="C56" s="4" t="n">
        <v>1</v>
      </c>
      <c r="D56" s="6" t="n">
        <v>10.0882656574249</v>
      </c>
      <c r="E56" s="18" t="s">
        <v>177</v>
      </c>
      <c r="F56" s="18" t="s">
        <v>175</v>
      </c>
      <c r="G56" s="4" t="s">
        <v>498</v>
      </c>
      <c r="H56" s="4" t="s">
        <v>499</v>
      </c>
      <c r="I56" s="4"/>
    </row>
    <row r="57" customFormat="false" ht="15" hidden="false" customHeight="true" outlineLevel="0" collapsed="false">
      <c r="A57" s="4" t="s">
        <v>174</v>
      </c>
      <c r="B57" s="4" t="s">
        <v>155</v>
      </c>
      <c r="C57" s="4" t="n">
        <v>2</v>
      </c>
      <c r="D57" s="6" t="n">
        <v>32.2702655792236</v>
      </c>
      <c r="E57" s="18" t="s">
        <v>470</v>
      </c>
      <c r="F57" s="18" t="s">
        <v>384</v>
      </c>
      <c r="G57" s="4" t="s">
        <v>313</v>
      </c>
      <c r="H57" s="4" t="s">
        <v>500</v>
      </c>
      <c r="I57" s="4"/>
    </row>
    <row r="58" customFormat="false" ht="15" hidden="false" customHeight="true" outlineLevel="0" collapsed="false">
      <c r="A58" s="4" t="s">
        <v>179</v>
      </c>
      <c r="B58" s="4" t="s">
        <v>155</v>
      </c>
      <c r="C58" s="4" t="n">
        <v>1</v>
      </c>
      <c r="D58" s="6" t="n">
        <v>19.6250758171082</v>
      </c>
      <c r="E58" s="18" t="s">
        <v>112</v>
      </c>
      <c r="F58" s="18" t="s">
        <v>314</v>
      </c>
      <c r="G58" s="4" t="s">
        <v>440</v>
      </c>
      <c r="H58" s="4" t="s">
        <v>501</v>
      </c>
      <c r="I58" s="4"/>
    </row>
    <row r="59" customFormat="false" ht="15" hidden="false" customHeight="true" outlineLevel="0" collapsed="false">
      <c r="A59" s="4" t="s">
        <v>179</v>
      </c>
      <c r="B59" s="4" t="s">
        <v>155</v>
      </c>
      <c r="C59" s="4" t="n">
        <v>2</v>
      </c>
      <c r="D59" s="6" t="n">
        <v>37.0560758113861</v>
      </c>
      <c r="E59" s="18" t="s">
        <v>222</v>
      </c>
      <c r="F59" s="18" t="s">
        <v>86</v>
      </c>
      <c r="G59" s="4" t="s">
        <v>57</v>
      </c>
      <c r="H59" s="4" t="s">
        <v>502</v>
      </c>
      <c r="I59" s="4"/>
    </row>
    <row r="60" customFormat="false" ht="15" hidden="false" customHeight="true" outlineLevel="0" collapsed="false">
      <c r="A60" s="4" t="s">
        <v>179</v>
      </c>
      <c r="B60" s="4" t="s">
        <v>155</v>
      </c>
      <c r="C60" s="4" t="n">
        <v>3</v>
      </c>
      <c r="D60" s="6" t="n">
        <v>50.0360758304596</v>
      </c>
      <c r="E60" s="18" t="s">
        <v>443</v>
      </c>
      <c r="F60" s="18" t="s">
        <v>326</v>
      </c>
      <c r="G60" s="4" t="s">
        <v>277</v>
      </c>
      <c r="H60" s="4" t="s">
        <v>503</v>
      </c>
      <c r="I60" s="4"/>
    </row>
    <row r="61" customFormat="false" ht="15" hidden="false" customHeight="true" outlineLevel="0" collapsed="false">
      <c r="A61" s="4" t="s">
        <v>179</v>
      </c>
      <c r="B61" s="4" t="s">
        <v>155</v>
      </c>
      <c r="C61" s="4" t="n">
        <v>4</v>
      </c>
      <c r="D61" s="6" t="n">
        <v>57.947075843811</v>
      </c>
      <c r="E61" s="18" t="s">
        <v>445</v>
      </c>
      <c r="F61" s="18" t="s">
        <v>297</v>
      </c>
      <c r="G61" s="4" t="s">
        <v>281</v>
      </c>
      <c r="H61" s="4" t="s">
        <v>504</v>
      </c>
      <c r="I61" s="4"/>
    </row>
    <row r="62" customFormat="false" ht="15" hidden="false" customHeight="true" outlineLevel="0" collapsed="false">
      <c r="A62" s="4" t="s">
        <v>183</v>
      </c>
      <c r="B62" s="4" t="s">
        <v>155</v>
      </c>
      <c r="C62" s="4" t="n">
        <v>1</v>
      </c>
      <c r="D62" s="6" t="n">
        <v>4.42973685264587</v>
      </c>
      <c r="E62" s="18" t="s">
        <v>80</v>
      </c>
      <c r="F62" s="18" t="s">
        <v>184</v>
      </c>
      <c r="G62" s="4" t="s">
        <v>440</v>
      </c>
      <c r="H62" s="4" t="s">
        <v>505</v>
      </c>
      <c r="I62" s="4"/>
    </row>
    <row r="63" customFormat="false" ht="15" hidden="false" customHeight="true" outlineLevel="0" collapsed="false">
      <c r="A63" s="4" t="s">
        <v>183</v>
      </c>
      <c r="B63" s="4" t="s">
        <v>155</v>
      </c>
      <c r="C63" s="4" t="n">
        <v>2</v>
      </c>
      <c r="D63" s="6" t="n">
        <v>41.5317368507385</v>
      </c>
      <c r="E63" s="18" t="s">
        <v>222</v>
      </c>
      <c r="F63" s="18" t="s">
        <v>86</v>
      </c>
      <c r="G63" s="4" t="s">
        <v>57</v>
      </c>
      <c r="H63" s="4" t="s">
        <v>506</v>
      </c>
      <c r="I63" s="4"/>
    </row>
    <row r="64" customFormat="false" ht="15" hidden="false" customHeight="true" outlineLevel="0" collapsed="false">
      <c r="A64" s="4" t="s">
        <v>183</v>
      </c>
      <c r="B64" s="4" t="s">
        <v>155</v>
      </c>
      <c r="C64" s="4" t="n">
        <v>3</v>
      </c>
      <c r="D64" s="6" t="n">
        <v>55.0967366695404</v>
      </c>
      <c r="E64" s="18" t="s">
        <v>470</v>
      </c>
      <c r="F64" s="18" t="s">
        <v>388</v>
      </c>
      <c r="G64" s="4" t="s">
        <v>313</v>
      </c>
      <c r="H64" s="4" t="s">
        <v>507</v>
      </c>
      <c r="I64" s="4"/>
    </row>
    <row r="65" customFormat="false" ht="15" hidden="false" customHeight="true" outlineLevel="0" collapsed="false">
      <c r="A65" s="4" t="s">
        <v>188</v>
      </c>
      <c r="B65" s="4" t="s">
        <v>155</v>
      </c>
      <c r="C65" s="4" t="n">
        <v>1</v>
      </c>
      <c r="D65" s="6" t="n">
        <v>-0.154549598693848</v>
      </c>
      <c r="E65" s="18" t="s">
        <v>80</v>
      </c>
      <c r="F65" s="18" t="s">
        <v>456</v>
      </c>
      <c r="G65" s="4" t="s">
        <v>440</v>
      </c>
      <c r="H65" s="4" t="s">
        <v>508</v>
      </c>
      <c r="I65" s="4"/>
    </row>
    <row r="66" customFormat="false" ht="15" hidden="false" customHeight="true" outlineLevel="0" collapsed="false">
      <c r="A66" s="4" t="s">
        <v>188</v>
      </c>
      <c r="B66" s="4" t="s">
        <v>155</v>
      </c>
      <c r="C66" s="4" t="n">
        <v>2</v>
      </c>
      <c r="D66" s="6" t="n">
        <v>18.8193988800049</v>
      </c>
      <c r="E66" s="18" t="s">
        <v>470</v>
      </c>
      <c r="F66" s="18" t="s">
        <v>190</v>
      </c>
      <c r="G66" s="4" t="s">
        <v>313</v>
      </c>
      <c r="H66" s="4" t="s">
        <v>509</v>
      </c>
      <c r="I66" s="4"/>
    </row>
    <row r="67" customFormat="false" ht="15" hidden="false" customHeight="true" outlineLevel="0" collapsed="false">
      <c r="A67" s="4" t="s">
        <v>188</v>
      </c>
      <c r="B67" s="4" t="s">
        <v>155</v>
      </c>
      <c r="C67" s="4" t="n">
        <v>3</v>
      </c>
      <c r="D67" s="6" t="n">
        <v>49.5353989601135</v>
      </c>
      <c r="E67" s="18" t="s">
        <v>445</v>
      </c>
      <c r="F67" s="18" t="s">
        <v>306</v>
      </c>
      <c r="G67" s="4" t="s">
        <v>281</v>
      </c>
      <c r="H67" s="4" t="s">
        <v>510</v>
      </c>
      <c r="I67" s="4"/>
    </row>
    <row r="68" customFormat="false" ht="15" hidden="false" customHeight="true" outlineLevel="0" collapsed="false">
      <c r="A68" s="4" t="s">
        <v>188</v>
      </c>
      <c r="B68" s="4" t="s">
        <v>155</v>
      </c>
      <c r="C68" s="4" t="n">
        <v>4</v>
      </c>
      <c r="D68" s="6" t="n">
        <v>60.33939909935</v>
      </c>
      <c r="E68" s="18" t="s">
        <v>222</v>
      </c>
      <c r="F68" s="18" t="s">
        <v>391</v>
      </c>
      <c r="G68" s="4" t="s">
        <v>57</v>
      </c>
      <c r="H68" s="4" t="s">
        <v>511</v>
      </c>
      <c r="I68" s="4"/>
    </row>
    <row r="69" customFormat="false" ht="15" hidden="false" customHeight="true" outlineLevel="0" collapsed="false">
      <c r="A69" s="4" t="s">
        <v>188</v>
      </c>
      <c r="B69" s="4" t="s">
        <v>155</v>
      </c>
      <c r="C69" s="4" t="n">
        <v>5</v>
      </c>
      <c r="D69" s="6" t="n">
        <v>74.3043990135193</v>
      </c>
      <c r="E69" s="18" t="s">
        <v>443</v>
      </c>
      <c r="F69" s="18" t="s">
        <v>294</v>
      </c>
      <c r="G69" s="4" t="s">
        <v>277</v>
      </c>
      <c r="H69" s="4" t="s">
        <v>512</v>
      </c>
      <c r="I69" s="4"/>
    </row>
    <row r="70" customFormat="false" ht="15" hidden="false" customHeight="true" outlineLevel="0" collapsed="false">
      <c r="A70" s="4" t="s">
        <v>188</v>
      </c>
      <c r="B70" s="4" t="s">
        <v>155</v>
      </c>
      <c r="C70" s="4" t="n">
        <v>6</v>
      </c>
      <c r="D70" s="6" t="n">
        <v>81.5863990783691</v>
      </c>
      <c r="E70" s="18" t="s">
        <v>445</v>
      </c>
      <c r="F70" s="18" t="s">
        <v>297</v>
      </c>
      <c r="G70" s="4" t="s">
        <v>281</v>
      </c>
      <c r="H70" s="4" t="s">
        <v>513</v>
      </c>
      <c r="I70" s="4"/>
    </row>
    <row r="71" customFormat="false" ht="15" hidden="false" customHeight="true" outlineLevel="0" collapsed="false">
      <c r="A71" s="4" t="s">
        <v>194</v>
      </c>
      <c r="B71" s="4" t="s">
        <v>155</v>
      </c>
      <c r="C71" s="4" t="n">
        <v>1</v>
      </c>
      <c r="D71" s="6" t="n">
        <v>8.10695385932922</v>
      </c>
      <c r="E71" s="18" t="s">
        <v>157</v>
      </c>
      <c r="F71" s="18" t="s">
        <v>196</v>
      </c>
      <c r="G71" s="4" t="s">
        <v>363</v>
      </c>
      <c r="H71" s="4" t="s">
        <v>514</v>
      </c>
      <c r="I71" s="4"/>
    </row>
    <row r="72" customFormat="false" ht="15" hidden="false" customHeight="true" outlineLevel="0" collapsed="false">
      <c r="A72" s="4" t="s">
        <v>194</v>
      </c>
      <c r="B72" s="4" t="s">
        <v>155</v>
      </c>
      <c r="C72" s="4" t="n">
        <v>2</v>
      </c>
      <c r="D72" s="6" t="n">
        <v>32.5259537696838</v>
      </c>
      <c r="E72" s="18" t="s">
        <v>161</v>
      </c>
      <c r="F72" s="18" t="s">
        <v>395</v>
      </c>
      <c r="G72" s="4" t="s">
        <v>362</v>
      </c>
      <c r="H72" s="4" t="s">
        <v>515</v>
      </c>
      <c r="I72" s="4"/>
    </row>
    <row r="73" customFormat="false" ht="15" hidden="false" customHeight="true" outlineLevel="0" collapsed="false">
      <c r="A73" s="4" t="s">
        <v>194</v>
      </c>
      <c r="B73" s="4" t="s">
        <v>155</v>
      </c>
      <c r="C73" s="4" t="n">
        <v>3</v>
      </c>
      <c r="D73" s="6" t="n">
        <v>42.6909537315369</v>
      </c>
      <c r="E73" s="18" t="s">
        <v>445</v>
      </c>
      <c r="F73" s="18" t="s">
        <v>396</v>
      </c>
      <c r="G73" s="4" t="s">
        <v>281</v>
      </c>
      <c r="H73" s="4" t="s">
        <v>516</v>
      </c>
      <c r="I73" s="4"/>
    </row>
    <row r="74" customFormat="false" ht="15" hidden="false" customHeight="true" outlineLevel="0" collapsed="false">
      <c r="A74" s="4" t="s">
        <v>206</v>
      </c>
      <c r="B74" s="4" t="s">
        <v>155</v>
      </c>
      <c r="C74" s="4" t="n">
        <v>1</v>
      </c>
      <c r="D74" s="6" t="n">
        <v>6.80383157730103</v>
      </c>
      <c r="E74" s="18" t="s">
        <v>80</v>
      </c>
      <c r="F74" s="18" t="s">
        <v>207</v>
      </c>
      <c r="G74" s="4" t="s">
        <v>440</v>
      </c>
      <c r="H74" s="4"/>
      <c r="I74" s="4" t="s">
        <v>58</v>
      </c>
    </row>
    <row r="75" customFormat="false" ht="15" hidden="false" customHeight="true" outlineLevel="0" collapsed="false">
      <c r="A75" s="4" t="s">
        <v>206</v>
      </c>
      <c r="B75" s="4" t="s">
        <v>155</v>
      </c>
      <c r="C75" s="4" t="n">
        <v>2</v>
      </c>
      <c r="D75" s="6" t="n">
        <v>28.8798315525055</v>
      </c>
      <c r="E75" s="18" t="s">
        <v>209</v>
      </c>
      <c r="F75" s="18" t="s">
        <v>404</v>
      </c>
      <c r="G75" s="4" t="s">
        <v>440</v>
      </c>
      <c r="H75" s="4" t="s">
        <v>517</v>
      </c>
      <c r="I75" s="4"/>
    </row>
    <row r="76" customFormat="false" ht="15" hidden="false" customHeight="true" outlineLevel="0" collapsed="false">
      <c r="A76" s="4" t="s">
        <v>206</v>
      </c>
      <c r="B76" s="4" t="s">
        <v>155</v>
      </c>
      <c r="C76" s="4" t="n">
        <v>3</v>
      </c>
      <c r="D76" s="6" t="n">
        <v>45.7068314552307</v>
      </c>
      <c r="E76" s="18" t="s">
        <v>448</v>
      </c>
      <c r="F76" s="18" t="s">
        <v>291</v>
      </c>
      <c r="G76" s="4" t="s">
        <v>71</v>
      </c>
      <c r="H76" s="4" t="s">
        <v>518</v>
      </c>
      <c r="I76" s="4"/>
    </row>
    <row r="77" customFormat="false" ht="15" hidden="false" customHeight="true" outlineLevel="0" collapsed="false">
      <c r="A77" s="4" t="s">
        <v>206</v>
      </c>
      <c r="B77" s="4" t="s">
        <v>155</v>
      </c>
      <c r="C77" s="4" t="n">
        <v>4</v>
      </c>
      <c r="D77" s="6" t="n">
        <v>55.6978316307068</v>
      </c>
      <c r="E77" s="18" t="s">
        <v>445</v>
      </c>
      <c r="F77" s="18" t="s">
        <v>407</v>
      </c>
      <c r="G77" s="4" t="s">
        <v>281</v>
      </c>
      <c r="H77" s="4" t="s">
        <v>519</v>
      </c>
      <c r="I77" s="4"/>
    </row>
    <row r="78" customFormat="false" ht="15" hidden="false" customHeight="true" outlineLevel="0" collapsed="false">
      <c r="A78" s="4" t="s">
        <v>206</v>
      </c>
      <c r="B78" s="4" t="s">
        <v>155</v>
      </c>
      <c r="C78" s="4" t="n">
        <v>5</v>
      </c>
      <c r="D78" s="6" t="n">
        <v>69.3378314971924</v>
      </c>
      <c r="E78" s="18" t="s">
        <v>222</v>
      </c>
      <c r="F78" s="18" t="s">
        <v>408</v>
      </c>
      <c r="G78" s="4" t="s">
        <v>57</v>
      </c>
      <c r="H78" s="4" t="s">
        <v>520</v>
      </c>
      <c r="I78" s="4"/>
    </row>
    <row r="79" customFormat="false" ht="15" hidden="false" customHeight="true" outlineLevel="0" collapsed="false">
      <c r="A79" s="4" t="s">
        <v>206</v>
      </c>
      <c r="B79" s="4" t="s">
        <v>155</v>
      </c>
      <c r="C79" s="4" t="n">
        <v>6</v>
      </c>
      <c r="D79" s="6" t="n">
        <v>85.5408315658569</v>
      </c>
      <c r="E79" s="18" t="s">
        <v>443</v>
      </c>
      <c r="F79" s="18" t="s">
        <v>409</v>
      </c>
      <c r="G79" s="4" t="s">
        <v>277</v>
      </c>
      <c r="H79" s="4" t="s">
        <v>521</v>
      </c>
      <c r="I79" s="4"/>
    </row>
    <row r="80" customFormat="false" ht="15" hidden="false" customHeight="true" outlineLevel="0" collapsed="false">
      <c r="A80" s="4" t="s">
        <v>211</v>
      </c>
      <c r="B80" s="4" t="s">
        <v>155</v>
      </c>
      <c r="C80" s="4" t="n">
        <v>1</v>
      </c>
      <c r="D80" s="6" t="n">
        <v>4.96386551856995</v>
      </c>
      <c r="E80" s="18" t="s">
        <v>80</v>
      </c>
      <c r="F80" s="18" t="s">
        <v>456</v>
      </c>
      <c r="G80" s="4" t="s">
        <v>440</v>
      </c>
      <c r="H80" s="4"/>
      <c r="I80" s="4" t="s">
        <v>58</v>
      </c>
    </row>
    <row r="81" customFormat="false" ht="15" hidden="false" customHeight="true" outlineLevel="0" collapsed="false">
      <c r="A81" s="4" t="s">
        <v>211</v>
      </c>
      <c r="B81" s="4" t="s">
        <v>155</v>
      </c>
      <c r="C81" s="4" t="n">
        <v>2</v>
      </c>
      <c r="D81" s="6" t="n">
        <v>5.06541705131531</v>
      </c>
      <c r="E81" s="18" t="s">
        <v>80</v>
      </c>
      <c r="F81" s="18" t="s">
        <v>124</v>
      </c>
      <c r="G81" s="4" t="s">
        <v>440</v>
      </c>
      <c r="H81" s="4" t="s">
        <v>522</v>
      </c>
      <c r="I81" s="4"/>
    </row>
    <row r="82" customFormat="false" ht="15" hidden="false" customHeight="true" outlineLevel="0" collapsed="false">
      <c r="A82" s="4" t="s">
        <v>211</v>
      </c>
      <c r="B82" s="4" t="s">
        <v>155</v>
      </c>
      <c r="C82" s="4" t="n">
        <v>3</v>
      </c>
      <c r="D82" s="6" t="n">
        <v>31.5494170188904</v>
      </c>
      <c r="E82" s="18" t="s">
        <v>448</v>
      </c>
      <c r="F82" s="18" t="s">
        <v>412</v>
      </c>
      <c r="G82" s="4" t="s">
        <v>496</v>
      </c>
      <c r="H82" s="4" t="s">
        <v>523</v>
      </c>
      <c r="I82" s="4"/>
    </row>
    <row r="83" customFormat="false" ht="15" hidden="false" customHeight="true" outlineLevel="0" collapsed="false">
      <c r="A83" s="4" t="s">
        <v>211</v>
      </c>
      <c r="B83" s="4" t="s">
        <v>155</v>
      </c>
      <c r="C83" s="4" t="n">
        <v>4</v>
      </c>
      <c r="D83" s="6" t="n">
        <v>40.3744170665741</v>
      </c>
      <c r="E83" s="18" t="s">
        <v>445</v>
      </c>
      <c r="F83" s="18" t="s">
        <v>414</v>
      </c>
      <c r="G83" s="4" t="s">
        <v>281</v>
      </c>
      <c r="H83" s="4" t="s">
        <v>524</v>
      </c>
      <c r="I83" s="4"/>
    </row>
    <row r="84" customFormat="false" ht="15" hidden="false" customHeight="true" outlineLevel="0" collapsed="false">
      <c r="A84" s="4" t="s">
        <v>211</v>
      </c>
      <c r="B84" s="4" t="s">
        <v>155</v>
      </c>
      <c r="C84" s="4" t="n">
        <v>5</v>
      </c>
      <c r="D84" s="6" t="n">
        <v>45.5734169483185</v>
      </c>
      <c r="E84" s="18" t="s">
        <v>443</v>
      </c>
      <c r="F84" s="18" t="s">
        <v>415</v>
      </c>
      <c r="G84" s="4" t="s">
        <v>277</v>
      </c>
      <c r="H84" s="4" t="s">
        <v>525</v>
      </c>
      <c r="I84" s="4"/>
    </row>
    <row r="85" customFormat="false" ht="15" hidden="false" customHeight="true" outlineLevel="0" collapsed="false">
      <c r="A85" s="4" t="s">
        <v>214</v>
      </c>
      <c r="B85" s="4" t="s">
        <v>155</v>
      </c>
      <c r="C85" s="4" t="n">
        <v>1</v>
      </c>
      <c r="D85" s="6" t="n">
        <v>3.35356044769287</v>
      </c>
      <c r="E85" s="18" t="s">
        <v>80</v>
      </c>
      <c r="F85" s="18" t="s">
        <v>456</v>
      </c>
      <c r="G85" s="4" t="s">
        <v>440</v>
      </c>
      <c r="H85" s="4" t="s">
        <v>526</v>
      </c>
      <c r="I85" s="4"/>
    </row>
    <row r="86" customFormat="false" ht="15" hidden="false" customHeight="true" outlineLevel="0" collapsed="false">
      <c r="A86" s="4" t="s">
        <v>214</v>
      </c>
      <c r="B86" s="4" t="s">
        <v>155</v>
      </c>
      <c r="C86" s="4" t="n">
        <v>2</v>
      </c>
      <c r="D86" s="6" t="n">
        <v>44.715313911438</v>
      </c>
      <c r="E86" s="18" t="s">
        <v>448</v>
      </c>
      <c r="F86" s="18" t="s">
        <v>291</v>
      </c>
      <c r="G86" s="4" t="s">
        <v>71</v>
      </c>
      <c r="H86" s="4" t="s">
        <v>527</v>
      </c>
      <c r="I86" s="4"/>
    </row>
    <row r="87" customFormat="false" ht="15" hidden="false" customHeight="true" outlineLevel="0" collapsed="false">
      <c r="A87" s="4" t="s">
        <v>214</v>
      </c>
      <c r="B87" s="4" t="s">
        <v>155</v>
      </c>
      <c r="C87" s="4" t="n">
        <v>3</v>
      </c>
      <c r="D87" s="6" t="n">
        <v>51.3683140277862</v>
      </c>
      <c r="E87" s="18" t="s">
        <v>222</v>
      </c>
      <c r="F87" s="18" t="s">
        <v>421</v>
      </c>
      <c r="G87" s="4" t="s">
        <v>57</v>
      </c>
      <c r="H87" s="4" t="s">
        <v>528</v>
      </c>
      <c r="I87" s="4"/>
    </row>
    <row r="88" customFormat="false" ht="15" hidden="false" customHeight="true" outlineLevel="0" collapsed="false">
      <c r="A88" s="4" t="s">
        <v>214</v>
      </c>
      <c r="B88" s="4" t="s">
        <v>155</v>
      </c>
      <c r="C88" s="4" t="n">
        <v>4</v>
      </c>
      <c r="D88" s="6" t="n">
        <v>60.9603140354156</v>
      </c>
      <c r="E88" s="18" t="s">
        <v>470</v>
      </c>
      <c r="F88" s="18" t="s">
        <v>422</v>
      </c>
      <c r="G88" s="4" t="s">
        <v>313</v>
      </c>
      <c r="H88" s="4" t="s">
        <v>529</v>
      </c>
      <c r="I88" s="4"/>
    </row>
    <row r="89" customFormat="false" ht="15" hidden="false" customHeight="true" outlineLevel="0" collapsed="false">
      <c r="A89" s="4" t="s">
        <v>220</v>
      </c>
      <c r="B89" s="4" t="s">
        <v>155</v>
      </c>
      <c r="C89" s="4" t="n">
        <v>1</v>
      </c>
      <c r="D89" s="6" t="n">
        <v>8.17840337753296</v>
      </c>
      <c r="E89" s="18" t="s">
        <v>222</v>
      </c>
      <c r="F89" s="18" t="s">
        <v>221</v>
      </c>
      <c r="G89" s="4" t="s">
        <v>57</v>
      </c>
      <c r="H89" s="4" t="s">
        <v>530</v>
      </c>
      <c r="I89" s="4"/>
    </row>
    <row r="90" customFormat="false" ht="15" hidden="false" customHeight="true" outlineLevel="0" collapsed="false">
      <c r="A90" s="4" t="s">
        <v>220</v>
      </c>
      <c r="B90" s="4" t="s">
        <v>155</v>
      </c>
      <c r="C90" s="4" t="n">
        <v>2</v>
      </c>
      <c r="D90" s="6" t="n">
        <v>33.8044033050537</v>
      </c>
      <c r="E90" s="18" t="s">
        <v>445</v>
      </c>
      <c r="F90" s="18" t="s">
        <v>426</v>
      </c>
      <c r="G90" s="4" t="s">
        <v>281</v>
      </c>
      <c r="H90" s="4" t="s">
        <v>531</v>
      </c>
      <c r="I90" s="4"/>
    </row>
    <row r="91" customFormat="false" ht="15" hidden="false" customHeight="true" outlineLevel="0" collapsed="false">
      <c r="A91" s="4" t="s">
        <v>220</v>
      </c>
      <c r="B91" s="4" t="s">
        <v>155</v>
      </c>
      <c r="C91" s="4" t="n">
        <v>3</v>
      </c>
      <c r="D91" s="6" t="n">
        <v>33.8614032268524</v>
      </c>
      <c r="E91" s="18" t="s">
        <v>448</v>
      </c>
      <c r="F91" s="18" t="s">
        <v>426</v>
      </c>
      <c r="G91" s="4" t="s">
        <v>71</v>
      </c>
      <c r="H91" s="4" t="s">
        <v>532</v>
      </c>
      <c r="I91" s="4"/>
    </row>
    <row r="92" customFormat="false" ht="15" hidden="false" customHeight="true" outlineLevel="0" collapsed="false">
      <c r="A92" s="4" t="s">
        <v>220</v>
      </c>
      <c r="B92" s="4" t="s">
        <v>155</v>
      </c>
      <c r="C92" s="4" t="n">
        <v>4</v>
      </c>
      <c r="D92" s="6" t="n">
        <v>56.5834033489227</v>
      </c>
      <c r="E92" s="18" t="s">
        <v>161</v>
      </c>
      <c r="F92" s="18" t="s">
        <v>429</v>
      </c>
      <c r="G92" s="4" t="s">
        <v>362</v>
      </c>
      <c r="H92" s="4" t="s">
        <v>533</v>
      </c>
      <c r="I92" s="4"/>
    </row>
    <row r="93" customFormat="false" ht="15" hidden="false" customHeight="false" outlineLevel="0" collapsed="false">
      <c r="A93" s="4" t="s">
        <v>224</v>
      </c>
      <c r="B93" s="4" t="s">
        <v>155</v>
      </c>
      <c r="C93" s="4" t="n">
        <v>1</v>
      </c>
      <c r="D93" s="6" t="n">
        <v>13.7021813392639</v>
      </c>
      <c r="E93" s="18" t="s">
        <v>62</v>
      </c>
      <c r="F93" s="18" t="s">
        <v>225</v>
      </c>
      <c r="G93" s="4" t="s">
        <v>440</v>
      </c>
      <c r="H93" s="4" t="s">
        <v>534</v>
      </c>
      <c r="I93" s="4"/>
    </row>
    <row r="94" customFormat="false" ht="15" hidden="false" customHeight="false" outlineLevel="0" collapsed="false">
      <c r="A94" s="4" t="s">
        <v>224</v>
      </c>
      <c r="B94" s="4" t="s">
        <v>155</v>
      </c>
      <c r="C94" s="4" t="n">
        <v>2</v>
      </c>
      <c r="D94" s="6" t="n">
        <v>28.2751812934875</v>
      </c>
      <c r="E94" s="18" t="s">
        <v>222</v>
      </c>
      <c r="F94" s="18" t="s">
        <v>86</v>
      </c>
      <c r="G94" s="4" t="s">
        <v>57</v>
      </c>
      <c r="H94" s="4" t="s">
        <v>535</v>
      </c>
      <c r="I94" s="4"/>
    </row>
    <row r="95" customFormat="false" ht="15" hidden="false" customHeight="false" outlineLevel="0" collapsed="false">
      <c r="A95" s="4" t="s">
        <v>224</v>
      </c>
      <c r="B95" s="4" t="s">
        <v>155</v>
      </c>
      <c r="C95" s="4" t="n">
        <v>3</v>
      </c>
      <c r="D95" s="6" t="n">
        <v>36.936181306839</v>
      </c>
      <c r="E95" s="18" t="s">
        <v>445</v>
      </c>
      <c r="F95" s="18" t="s">
        <v>432</v>
      </c>
      <c r="G95" s="4" t="s">
        <v>281</v>
      </c>
      <c r="H95" s="4" t="s">
        <v>536</v>
      </c>
      <c r="I95" s="4"/>
    </row>
    <row r="96" customFormat="false" ht="15" hidden="false" customHeight="false" outlineLevel="0" collapsed="false">
      <c r="A96" s="4" t="s">
        <v>224</v>
      </c>
      <c r="B96" s="4" t="s">
        <v>155</v>
      </c>
      <c r="C96" s="4" t="n">
        <v>4</v>
      </c>
      <c r="D96" s="6" t="n">
        <v>50.6221811771393</v>
      </c>
      <c r="E96" s="18" t="s">
        <v>443</v>
      </c>
      <c r="F96" s="18" t="s">
        <v>294</v>
      </c>
      <c r="G96" s="4" t="s">
        <v>277</v>
      </c>
      <c r="H96" s="4" t="s">
        <v>537</v>
      </c>
      <c r="I96" s="4"/>
    </row>
  </sheetData>
  <autoFilter ref="A1:I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3" min="3" style="1" width="8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8" min="7" style="1" width="1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3"/>
  </cols>
  <sheetData>
    <row r="1" customFormat="false" ht="15" hidden="false" customHeight="true" outlineLevel="0" collapsed="false">
      <c r="A1" s="19" t="s">
        <v>538</v>
      </c>
    </row>
    <row r="2" customFormat="false" ht="15" hidden="false" customHeight="true" outlineLevel="0" collapsed="false">
      <c r="A2" s="20" t="s">
        <v>539</v>
      </c>
    </row>
    <row r="4" customFormat="false" ht="42" hidden="false" customHeight="true" outlineLevel="0" collapsed="false">
      <c r="A4" s="2" t="s">
        <v>4</v>
      </c>
      <c r="B4" s="2" t="s">
        <v>5</v>
      </c>
      <c r="C4" s="2" t="s">
        <v>540</v>
      </c>
      <c r="D4" s="2" t="s">
        <v>541</v>
      </c>
      <c r="E4" s="2" t="s">
        <v>542</v>
      </c>
      <c r="F4" s="2" t="s">
        <v>543</v>
      </c>
      <c r="G4" s="2" t="s">
        <v>544</v>
      </c>
      <c r="H4" s="2" t="s">
        <v>545</v>
      </c>
      <c r="I4" s="2" t="s">
        <v>546</v>
      </c>
      <c r="J4" s="2" t="s">
        <v>547</v>
      </c>
      <c r="K4" s="2" t="s">
        <v>548</v>
      </c>
    </row>
    <row r="5" customFormat="false" ht="15" hidden="false" customHeight="true" outlineLevel="0" collapsed="false">
      <c r="A5" s="4" t="s">
        <v>38</v>
      </c>
      <c r="B5" s="4" t="s">
        <v>549</v>
      </c>
      <c r="C5" s="4" t="n">
        <f aca="false">COUNTIFS(Experiments!$E$2:$E$5000,$A5)</f>
        <v>6</v>
      </c>
      <c r="D5" s="4" t="n">
        <f aca="false">COUNTIFS(Experiments!$E$2:$E$5000,$A5,Experiments!$Q$2:$Q$5000,"yes")</f>
        <v>1</v>
      </c>
      <c r="E5" s="4" t="n">
        <f aca="false">COUNTIFS(Experiments!$E$2:$E$5000,$A5,Experiments!$Q$2:$Q$5000,"no")</f>
        <v>0</v>
      </c>
      <c r="F5" s="21" t="n">
        <f aca="false">IF(D5+E5=0,"",D5/(D5+E5))</f>
        <v>1</v>
      </c>
      <c r="G5" s="4" t="n">
        <f aca="false">COUNTIFS(Experiments!$E$2:$E$5000,$A5,Experiments!$O$2:$O$5000,"yes")</f>
        <v>1</v>
      </c>
      <c r="H5" s="6" t="n">
        <f aca="false">IF(COUNTIFS(Experiments!$E$2:$E$5000,$A5,Experiments!$R$2:$R$5000,"&lt;&gt;")=0,"",AVERAGEIFS(Experiments!$R$2:$R$5000,Experiments!$E$2:$E$5000,$A5))</f>
        <v>4.319</v>
      </c>
      <c r="I5" s="6" t="n">
        <f aca="false">IF(COUNTIFS(Experiments!$E$2:$E$5000,$A5,Experiments!$S$2:$S$5000,"&lt;&gt;")=0,"",AVERAGEIFS(Experiments!$S$2:$S$5000,Experiments!$E$2:$E$5000,$A5))</f>
        <v>31.686</v>
      </c>
      <c r="J5" s="6" t="n">
        <f aca="false">IF(COUNTIFS(Experiments!$E$2:$E$5000,$A5,Experiments!$AC$2:$AC$5000,"&lt;&gt;")=0,"",AVERAGEIFS(Experiments!$AC$2:$AC$5000,Experiments!$E$2:$E$5000,$A5))</f>
        <v>21.043</v>
      </c>
      <c r="K5" s="6" t="n">
        <f aca="false">IF(COUNTIFS(Experiments!$E$2:$E$5000,$A5,Experiments!$AB$2:$AB$5000,"&lt;&gt;")=0,"",AVERAGEIFS(Experiments!$AB$2:$AB$5000,Experiments!$E$2:$E$5000,$A5))</f>
        <v>10.643</v>
      </c>
    </row>
    <row r="6" customFormat="false" ht="15" hidden="false" customHeight="true" outlineLevel="0" collapsed="false">
      <c r="A6" s="4" t="s">
        <v>47</v>
      </c>
      <c r="B6" s="4" t="s">
        <v>550</v>
      </c>
      <c r="C6" s="4" t="n">
        <f aca="false">COUNTIFS(Experiments!$E$2:$E$5000,$A6)</f>
        <v>5</v>
      </c>
      <c r="D6" s="4" t="n">
        <f aca="false">COUNTIFS(Experiments!$E$2:$E$5000,$A6,Experiments!$Q$2:$Q$5000,"yes")</f>
        <v>1</v>
      </c>
      <c r="E6" s="4" t="n">
        <f aca="false">COUNTIFS(Experiments!$E$2:$E$5000,$A6,Experiments!$Q$2:$Q$5000,"no")</f>
        <v>0</v>
      </c>
      <c r="F6" s="21" t="n">
        <f aca="false">IF(D6+E6=0,"",D6/(D6+E6))</f>
        <v>1</v>
      </c>
      <c r="G6" s="4" t="n">
        <f aca="false">COUNTIFS(Experiments!$E$2:$E$5000,$A6,Experiments!$O$2:$O$5000,"yes")</f>
        <v>0</v>
      </c>
      <c r="H6" s="6" t="str">
        <f aca="false">IF(COUNTIFS(Experiments!$E$2:$E$5000,$A6,Experiments!$R$2:$R$5000,"&lt;&gt;")=0,"",AVERAGEIFS(Experiments!$R$2:$R$5000,Experiments!$E$2:$E$5000,$A6))</f>
        <v/>
      </c>
      <c r="I6" s="6" t="str">
        <f aca="false">IF(COUNTIFS(Experiments!$E$2:$E$5000,$A6,Experiments!$S$2:$S$5000,"&lt;&gt;")=0,"",AVERAGEIFS(Experiments!$S$2:$S$5000,Experiments!$E$2:$E$5000,$A6))</f>
        <v/>
      </c>
      <c r="J6" s="6" t="str">
        <f aca="false">IF(COUNTIFS(Experiments!$E$2:$E$5000,$A6,Experiments!$AC$2:$AC$5000,"&lt;&gt;")=0,"",AVERAGEIFS(Experiments!$AC$2:$AC$5000,Experiments!$E$2:$E$5000,$A6))</f>
        <v/>
      </c>
      <c r="K6" s="6" t="str">
        <f aca="false">IF(COUNTIFS(Experiments!$E$2:$E$5000,$A6,Experiments!$AB$2:$AB$5000,"&lt;&gt;")=0,"",AVERAGEIFS(Experiments!$AB$2:$AB$5000,Experiments!$E$2:$E$5000,$A6))</f>
        <v/>
      </c>
    </row>
    <row r="7" customFormat="false" ht="15" hidden="false" customHeight="true" outlineLevel="0" collapsed="false">
      <c r="A7" s="4" t="s">
        <v>54</v>
      </c>
      <c r="B7" s="4" t="s">
        <v>551</v>
      </c>
      <c r="C7" s="4" t="n">
        <f aca="false">COUNTIFS(Experiments!$E$2:$E$5000,$A7)</f>
        <v>6</v>
      </c>
      <c r="D7" s="4" t="n">
        <f aca="false">COUNTIFS(Experiments!$E$2:$E$5000,$A7,Experiments!$Q$2:$Q$5000,"yes")</f>
        <v>5</v>
      </c>
      <c r="E7" s="4" t="n">
        <f aca="false">COUNTIFS(Experiments!$E$2:$E$5000,$A7,Experiments!$Q$2:$Q$5000,"no")</f>
        <v>0</v>
      </c>
      <c r="F7" s="21" t="n">
        <f aca="false">IF(D7+E7=0,"",D7/(D7+E7))</f>
        <v>1</v>
      </c>
      <c r="G7" s="4" t="n">
        <f aca="false">COUNTIFS(Experiments!$E$2:$E$5000,$A7,Experiments!$O$2:$O$5000,"yes")</f>
        <v>5</v>
      </c>
      <c r="H7" s="6" t="n">
        <f aca="false">IF(COUNTIFS(Experiments!$E$2:$E$5000,$A7,Experiments!$R$2:$R$5000,"&lt;&gt;")=0,"",AVERAGEIFS(Experiments!$R$2:$R$5000,Experiments!$E$2:$E$5000,$A7))</f>
        <v>4.48633333333333</v>
      </c>
      <c r="I7" s="6" t="n">
        <f aca="false">IF(COUNTIFS(Experiments!$E$2:$E$5000,$A7,Experiments!$S$2:$S$5000,"&lt;&gt;")=0,"",AVERAGEIFS(Experiments!$S$2:$S$5000,Experiments!$E$2:$E$5000,$A7))</f>
        <v>38.4421666666667</v>
      </c>
      <c r="J7" s="6" t="n">
        <f aca="false">IF(COUNTIFS(Experiments!$E$2:$E$5000,$A7,Experiments!$AC$2:$AC$5000,"&lt;&gt;")=0,"",AVERAGEIFS(Experiments!$AC$2:$AC$5000,Experiments!$E$2:$E$5000,$A7))</f>
        <v>19.9993333333333</v>
      </c>
      <c r="K7" s="6" t="n">
        <f aca="false">IF(COUNTIFS(Experiments!$E$2:$E$5000,$A7,Experiments!$AB$2:$AB$5000,"&lt;&gt;")=0,"",AVERAGEIFS(Experiments!$AB$2:$AB$5000,Experiments!$E$2:$E$5000,$A7))</f>
        <v>18.4428333333333</v>
      </c>
    </row>
    <row r="8" customFormat="false" ht="15" hidden="false" customHeight="true" outlineLevel="0" collapsed="false">
      <c r="A8" s="4" t="s">
        <v>67</v>
      </c>
      <c r="B8" s="4" t="s">
        <v>552</v>
      </c>
      <c r="C8" s="4" t="n">
        <f aca="false">COUNTIFS(Experiments!$E$2:$E$5000,$A8)</f>
        <v>6</v>
      </c>
      <c r="D8" s="4" t="n">
        <f aca="false">COUNTIFS(Experiments!$E$2:$E$5000,$A8,Experiments!$Q$2:$Q$5000,"yes")</f>
        <v>6</v>
      </c>
      <c r="E8" s="4" t="n">
        <f aca="false">COUNTIFS(Experiments!$E$2:$E$5000,$A8,Experiments!$Q$2:$Q$5000,"no")</f>
        <v>0</v>
      </c>
      <c r="F8" s="21" t="n">
        <f aca="false">IF(D8+E8=0,"",D8/(D8+E8))</f>
        <v>1</v>
      </c>
      <c r="G8" s="4" t="n">
        <f aca="false">COUNTIFS(Experiments!$E$2:$E$5000,$A8,Experiments!$O$2:$O$5000,"yes")</f>
        <v>6</v>
      </c>
      <c r="H8" s="6" t="n">
        <f aca="false">IF(COUNTIFS(Experiments!$E$2:$E$5000,$A8,Experiments!$R$2:$R$5000,"&lt;&gt;")=0,"",AVERAGEIFS(Experiments!$R$2:$R$5000,Experiments!$E$2:$E$5000,$A8))</f>
        <v>17.4993333333333</v>
      </c>
      <c r="I8" s="6" t="n">
        <f aca="false">IF(COUNTIFS(Experiments!$E$2:$E$5000,$A8,Experiments!$S$2:$S$5000,"&lt;&gt;")=0,"",AVERAGEIFS(Experiments!$S$2:$S$5000,Experiments!$E$2:$E$5000,$A8))</f>
        <v>59.7485</v>
      </c>
      <c r="J8" s="6" t="n">
        <f aca="false">IF(COUNTIFS(Experiments!$E$2:$E$5000,$A8,Experiments!$AC$2:$AC$5000,"&lt;&gt;")=0,"",AVERAGEIFS(Experiments!$AC$2:$AC$5000,Experiments!$E$2:$E$5000,$A8))</f>
        <v>35.7125</v>
      </c>
      <c r="K8" s="6" t="n">
        <f aca="false">IF(COUNTIFS(Experiments!$E$2:$E$5000,$A8,Experiments!$AB$2:$AB$5000,"&lt;&gt;")=0,"",AVERAGEIFS(Experiments!$AB$2:$AB$5000,Experiments!$E$2:$E$5000,$A8))</f>
        <v>24.036</v>
      </c>
    </row>
    <row r="9" customFormat="false" ht="15" hidden="false" customHeight="true" outlineLevel="0" collapsed="false">
      <c r="A9" s="4" t="s">
        <v>76</v>
      </c>
      <c r="B9" s="4" t="s">
        <v>553</v>
      </c>
      <c r="C9" s="4" t="n">
        <f aca="false">COUNTIFS(Experiments!$E$2:$E$5000,$A9)</f>
        <v>5</v>
      </c>
      <c r="D9" s="4" t="n">
        <f aca="false">COUNTIFS(Experiments!$E$2:$E$5000,$A9,Experiments!$Q$2:$Q$5000,"yes")</f>
        <v>5</v>
      </c>
      <c r="E9" s="4" t="n">
        <f aca="false">COUNTIFS(Experiments!$E$2:$E$5000,$A9,Experiments!$Q$2:$Q$5000,"no")</f>
        <v>0</v>
      </c>
      <c r="F9" s="21" t="n">
        <f aca="false">IF(D9+E9=0,"",D9/(D9+E9))</f>
        <v>1</v>
      </c>
      <c r="G9" s="4" t="n">
        <f aca="false">COUNTIFS(Experiments!$E$2:$E$5000,$A9,Experiments!$O$2:$O$5000,"yes")</f>
        <v>5</v>
      </c>
      <c r="H9" s="6" t="n">
        <f aca="false">IF(COUNTIFS(Experiments!$E$2:$E$5000,$A9,Experiments!$R$2:$R$5000,"&lt;&gt;")=0,"",AVERAGEIFS(Experiments!$R$2:$R$5000,Experiments!$E$2:$E$5000,$A9))</f>
        <v>17.0388</v>
      </c>
      <c r="I9" s="6" t="n">
        <f aca="false">IF(COUNTIFS(Experiments!$E$2:$E$5000,$A9,Experiments!$S$2:$S$5000,"&lt;&gt;")=0,"",AVERAGEIFS(Experiments!$S$2:$S$5000,Experiments!$E$2:$E$5000,$A9))</f>
        <v>52.089</v>
      </c>
      <c r="J9" s="6" t="n">
        <f aca="false">IF(COUNTIFS(Experiments!$E$2:$E$5000,$A9,Experiments!$AC$2:$AC$5000,"&lt;&gt;")=0,"",AVERAGEIFS(Experiments!$AC$2:$AC$5000,Experiments!$E$2:$E$5000,$A9))</f>
        <v>29.7782</v>
      </c>
      <c r="K9" s="6" t="n">
        <f aca="false">IF(COUNTIFS(Experiments!$E$2:$E$5000,$A9,Experiments!$AB$2:$AB$5000,"&lt;&gt;")=0,"",AVERAGEIFS(Experiments!$AB$2:$AB$5000,Experiments!$E$2:$E$5000,$A9))</f>
        <v>22.3108</v>
      </c>
    </row>
    <row r="10" customFormat="false" ht="15" hidden="false" customHeight="true" outlineLevel="0" collapsed="false">
      <c r="A10" s="4" t="s">
        <v>83</v>
      </c>
      <c r="B10" s="4" t="s">
        <v>554</v>
      </c>
      <c r="C10" s="4" t="n">
        <f aca="false">COUNTIFS(Experiments!$E$2:$E$5000,$A10)</f>
        <v>5</v>
      </c>
      <c r="D10" s="4" t="n">
        <f aca="false">COUNTIFS(Experiments!$E$2:$E$5000,$A10,Experiments!$Q$2:$Q$5000,"yes")</f>
        <v>5</v>
      </c>
      <c r="E10" s="4" t="n">
        <f aca="false">COUNTIFS(Experiments!$E$2:$E$5000,$A10,Experiments!$Q$2:$Q$5000,"no")</f>
        <v>0</v>
      </c>
      <c r="F10" s="21" t="n">
        <f aca="false">IF(D10+E10=0,"",D10/(D10+E10))</f>
        <v>1</v>
      </c>
      <c r="G10" s="4" t="n">
        <f aca="false">COUNTIFS(Experiments!$E$2:$E$5000,$A10,Experiments!$O$2:$O$5000,"yes")</f>
        <v>5</v>
      </c>
      <c r="H10" s="6" t="n">
        <f aca="false">IF(COUNTIFS(Experiments!$E$2:$E$5000,$A10,Experiments!$R$2:$R$5000,"&lt;&gt;")=0,"",AVERAGEIFS(Experiments!$R$2:$R$5000,Experiments!$E$2:$E$5000,$A10))</f>
        <v>9.3476</v>
      </c>
      <c r="I10" s="6" t="n">
        <f aca="false">IF(COUNTIFS(Experiments!$E$2:$E$5000,$A10,Experiments!$S$2:$S$5000,"&lt;&gt;")=0,"",AVERAGEIFS(Experiments!$S$2:$S$5000,Experiments!$E$2:$E$5000,$A10))</f>
        <v>48.2484</v>
      </c>
      <c r="J10" s="6" t="n">
        <f aca="false">IF(COUNTIFS(Experiments!$E$2:$E$5000,$A10,Experiments!$AC$2:$AC$5000,"&lt;&gt;")=0,"",AVERAGEIFS(Experiments!$AC$2:$AC$5000,Experiments!$E$2:$E$5000,$A10))</f>
        <v>14.334</v>
      </c>
      <c r="K10" s="6" t="n">
        <f aca="false">IF(COUNTIFS(Experiments!$E$2:$E$5000,$A10,Experiments!$AB$2:$AB$5000,"&lt;&gt;")=0,"",AVERAGEIFS(Experiments!$AB$2:$AB$5000,Experiments!$E$2:$E$5000,$A10))</f>
        <v>33.9144</v>
      </c>
    </row>
    <row r="11" customFormat="false" ht="15" hidden="false" customHeight="true" outlineLevel="0" collapsed="false">
      <c r="A11" s="4" t="s">
        <v>150</v>
      </c>
      <c r="B11" s="4" t="s">
        <v>555</v>
      </c>
      <c r="C11" s="4" t="n">
        <f aca="false">COUNTIFS(Experiments!$E$2:$E$5000,$A11)</f>
        <v>5</v>
      </c>
      <c r="D11" s="4" t="n">
        <f aca="false">COUNTIFS(Experiments!$E$2:$E$5000,$A11,Experiments!$Q$2:$Q$5000,"yes")</f>
        <v>2</v>
      </c>
      <c r="E11" s="4" t="n">
        <f aca="false">COUNTIFS(Experiments!$E$2:$E$5000,$A11,Experiments!$Q$2:$Q$5000,"no")</f>
        <v>0</v>
      </c>
      <c r="F11" s="21" t="n">
        <f aca="false">IF(D11+E11=0,"",D11/(D11+E11))</f>
        <v>1</v>
      </c>
      <c r="G11" s="4" t="n">
        <f aca="false">COUNTIFS(Experiments!$E$2:$E$5000,$A11,Experiments!$O$2:$O$5000,"yes")</f>
        <v>0</v>
      </c>
      <c r="H11" s="6" t="n">
        <f aca="false">IF(COUNTIFS(Experiments!$E$2:$E$5000,$A11,Experiments!$R$2:$R$5000,"&lt;&gt;")=0,"",AVERAGEIFS(Experiments!$R$2:$R$5000,Experiments!$E$2:$E$5000,$A11))</f>
        <v>4.734</v>
      </c>
      <c r="I11" s="6" t="str">
        <f aca="false">IF(COUNTIFS(Experiments!$E$2:$E$5000,$A11,Experiments!$S$2:$S$5000,"&lt;&gt;")=0,"",AVERAGEIFS(Experiments!$S$2:$S$5000,Experiments!$E$2:$E$5000,$A11))</f>
        <v/>
      </c>
      <c r="J11" s="6" t="str">
        <f aca="false">IF(COUNTIFS(Experiments!$E$2:$E$5000,$A11,Experiments!$AC$2:$AC$5000,"&lt;&gt;")=0,"",AVERAGEIFS(Experiments!$AC$2:$AC$5000,Experiments!$E$2:$E$5000,$A11))</f>
        <v/>
      </c>
      <c r="K11" s="6" t="str">
        <f aca="false">IF(COUNTIFS(Experiments!$E$2:$E$5000,$A11,Experiments!$AB$2:$AB$5000,"&lt;&gt;")=0,"",AVERAGEIFS(Experiments!$AB$2:$AB$5000,Experiments!$E$2:$E$5000,$A11))</f>
        <v/>
      </c>
    </row>
    <row r="12" customFormat="false" ht="15" hidden="false" customHeight="true" outlineLevel="0" collapsed="false">
      <c r="A12" s="17" t="s">
        <v>556</v>
      </c>
      <c r="B12" s="17"/>
      <c r="C12" s="17" t="n">
        <f aca="false">SUM(C5:C11)</f>
        <v>38</v>
      </c>
      <c r="D12" s="17" t="n">
        <f aca="false">SUM(D5:D11)</f>
        <v>25</v>
      </c>
      <c r="E12" s="17" t="n">
        <f aca="false">SUM(E5:E11)</f>
        <v>0</v>
      </c>
      <c r="F12" s="22" t="n">
        <f aca="false">IF(D12+E12=0,"",D12/(D12+E12))</f>
        <v>1</v>
      </c>
      <c r="G12" s="17" t="n">
        <f aca="false">SUM(G5:G11)</f>
        <v>22</v>
      </c>
      <c r="H12" s="23" t="n">
        <f aca="false">IF(COUNT(Experiments!$R$2:$R$5000)=0,"",AVERAGE(Experiments!$R$2:$R$5000))</f>
        <v>10.4226785714286</v>
      </c>
      <c r="I12" s="23" t="n">
        <f aca="false">IF(COUNT(Experiments!$S$2:$S$5000)=0,"",AVERAGE(Experiments!$S$2:$S$5000))</f>
        <v>48.8050869565217</v>
      </c>
      <c r="J12" s="23" t="n">
        <f aca="false">IF(COUNT(Experiments!$AC$2:$AC$5000)=0,"",AVERAGE(Experiments!$AC$2:$AC$5000))</f>
        <v>25.0380434782609</v>
      </c>
      <c r="K12" s="23" t="n">
        <f aca="false">IF(COUNT(Experiments!$AB$2:$AB$5000)=0,"",AVERAGE(Experiments!$AB$2:$AB$5000))</f>
        <v>23.7670434782609</v>
      </c>
    </row>
    <row r="14" customFormat="false" ht="15" hidden="false" customHeight="true" outlineLevel="0" collapsed="false">
      <c r="A14" s="24" t="s">
        <v>557</v>
      </c>
    </row>
    <row r="15" customFormat="false" ht="15" hidden="false" customHeight="true" outlineLevel="0" collapsed="false">
      <c r="A15" s="25" t="s">
        <v>4</v>
      </c>
      <c r="B15" s="25" t="s">
        <v>37</v>
      </c>
    </row>
    <row r="16" customFormat="false" ht="15" hidden="false" customHeight="true" outlineLevel="0" collapsed="false">
      <c r="A16" s="13" t="s">
        <v>38</v>
      </c>
      <c r="B16" s="13" t="n">
        <f aca="false">COUNTIFS(Experiments!$E$2:$E$5000,$A16,Experiments!$D$2:$D$5000,"Layout A")</f>
        <v>6</v>
      </c>
    </row>
    <row r="17" customFormat="false" ht="15" hidden="false" customHeight="true" outlineLevel="0" collapsed="false">
      <c r="A17" s="13" t="s">
        <v>47</v>
      </c>
      <c r="B17" s="13" t="n">
        <f aca="false">COUNTIFS(Experiments!$E$2:$E$5000,$A17,Experiments!$D$2:$D$5000,"Layout A")</f>
        <v>5</v>
      </c>
    </row>
    <row r="18" customFormat="false" ht="15" hidden="false" customHeight="true" outlineLevel="0" collapsed="false">
      <c r="A18" s="13" t="s">
        <v>54</v>
      </c>
      <c r="B18" s="13" t="n">
        <f aca="false">COUNTIFS(Experiments!$E$2:$E$5000,$A18,Experiments!$D$2:$D$5000,"Layout A")</f>
        <v>6</v>
      </c>
    </row>
    <row r="19" customFormat="false" ht="15" hidden="false" customHeight="true" outlineLevel="0" collapsed="false">
      <c r="A19" s="13" t="s">
        <v>67</v>
      </c>
      <c r="B19" s="13" t="n">
        <f aca="false">COUNTIFS(Experiments!$E$2:$E$5000,$A19,Experiments!$D$2:$D$5000,"Layout A")</f>
        <v>6</v>
      </c>
    </row>
    <row r="20" customFormat="false" ht="15" hidden="false" customHeight="true" outlineLevel="0" collapsed="false">
      <c r="A20" s="13" t="s">
        <v>76</v>
      </c>
      <c r="B20" s="13" t="n">
        <f aca="false">COUNTIFS(Experiments!$E$2:$E$5000,$A20,Experiments!$D$2:$D$5000,"Layout A")</f>
        <v>5</v>
      </c>
    </row>
    <row r="21" customFormat="false" ht="15" hidden="false" customHeight="true" outlineLevel="0" collapsed="false">
      <c r="A21" s="13" t="s">
        <v>83</v>
      </c>
      <c r="B21" s="13" t="n">
        <f aca="false">COUNTIFS(Experiments!$E$2:$E$5000,$A21,Experiments!$D$2:$D$5000,"Layout A")</f>
        <v>5</v>
      </c>
    </row>
    <row r="22" customFormat="false" ht="15" hidden="false" customHeight="true" outlineLevel="0" collapsed="false">
      <c r="A22" s="13" t="s">
        <v>150</v>
      </c>
      <c r="B22" s="13" t="n">
        <f aca="false">COUNTIFS(Experiments!$E$2:$E$5000,$A22,Experiments!$D$2:$D$5000,"Layout A")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0"/>
  </cols>
  <sheetData>
    <row r="1" customFormat="false" ht="42" hidden="false" customHeight="true" outlineLevel="0" collapsed="false">
      <c r="A1" s="2" t="s">
        <v>558</v>
      </c>
      <c r="B1" s="2" t="s">
        <v>559</v>
      </c>
    </row>
    <row r="2" customFormat="false" ht="15" hidden="false" customHeight="true" outlineLevel="0" collapsed="false">
      <c r="A2" s="24" t="s">
        <v>560</v>
      </c>
      <c r="B2" s="18" t="s">
        <v>561</v>
      </c>
    </row>
    <row r="3" customFormat="false" ht="15" hidden="false" customHeight="true" outlineLevel="0" collapsed="false">
      <c r="A3" s="24" t="s">
        <v>17</v>
      </c>
      <c r="B3" s="18" t="s">
        <v>562</v>
      </c>
    </row>
    <row r="4" customFormat="false" ht="15" hidden="false" customHeight="true" outlineLevel="0" collapsed="false">
      <c r="A4" s="24" t="s">
        <v>18</v>
      </c>
      <c r="B4" s="18" t="s">
        <v>563</v>
      </c>
    </row>
    <row r="5" customFormat="false" ht="15" hidden="false" customHeight="true" outlineLevel="0" collapsed="false">
      <c r="A5" s="24" t="s">
        <v>20</v>
      </c>
      <c r="B5" s="18" t="s">
        <v>564</v>
      </c>
    </row>
    <row r="6" customFormat="false" ht="15" hidden="false" customHeight="true" outlineLevel="0" collapsed="false">
      <c r="A6" s="24" t="s">
        <v>238</v>
      </c>
      <c r="B6" s="18" t="s">
        <v>565</v>
      </c>
    </row>
    <row r="7" customFormat="false" ht="15" hidden="false" customHeight="true" outlineLevel="0" collapsed="false">
      <c r="A7" s="24" t="s">
        <v>239</v>
      </c>
      <c r="B7" s="18" t="s">
        <v>566</v>
      </c>
    </row>
    <row r="8" customFormat="false" ht="15" hidden="false" customHeight="true" outlineLevel="0" collapsed="false">
      <c r="A8" s="24" t="s">
        <v>240</v>
      </c>
      <c r="B8" s="18" t="s">
        <v>567</v>
      </c>
    </row>
    <row r="9" customFormat="false" ht="15" hidden="false" customHeight="true" outlineLevel="0" collapsed="false">
      <c r="A9" s="24" t="s">
        <v>21</v>
      </c>
      <c r="B9" s="18" t="s">
        <v>568</v>
      </c>
    </row>
    <row r="10" customFormat="false" ht="15" hidden="false" customHeight="true" outlineLevel="0" collapsed="false">
      <c r="A10" s="24" t="s">
        <v>241</v>
      </c>
      <c r="B10" s="18" t="s">
        <v>569</v>
      </c>
    </row>
    <row r="11" customFormat="false" ht="15" hidden="false" customHeight="true" outlineLevel="0" collapsed="false">
      <c r="A11" s="24" t="s">
        <v>242</v>
      </c>
      <c r="B11" s="18" t="s">
        <v>570</v>
      </c>
    </row>
    <row r="12" customFormat="false" ht="15" hidden="false" customHeight="true" outlineLevel="0" collapsed="false">
      <c r="A12" s="24" t="s">
        <v>22</v>
      </c>
      <c r="B12" s="18" t="s">
        <v>571</v>
      </c>
    </row>
    <row r="13" customFormat="false" ht="15" hidden="false" customHeight="true" outlineLevel="0" collapsed="false">
      <c r="A13" s="24" t="s">
        <v>243</v>
      </c>
      <c r="B13" s="18" t="s">
        <v>572</v>
      </c>
    </row>
    <row r="14" customFormat="false" ht="15" hidden="false" customHeight="true" outlineLevel="0" collapsed="false">
      <c r="A14" s="24" t="s">
        <v>244</v>
      </c>
      <c r="B14" s="18" t="s">
        <v>573</v>
      </c>
    </row>
    <row r="15" customFormat="false" ht="15" hidden="false" customHeight="true" outlineLevel="0" collapsed="false">
      <c r="A15" s="24" t="s">
        <v>245</v>
      </c>
      <c r="B15" s="18" t="s">
        <v>574</v>
      </c>
    </row>
    <row r="16" customFormat="false" ht="15" hidden="false" customHeight="true" outlineLevel="0" collapsed="false">
      <c r="A16" s="24" t="s">
        <v>23</v>
      </c>
      <c r="B16" s="18" t="s">
        <v>575</v>
      </c>
    </row>
    <row r="17" customFormat="false" ht="15" hidden="false" customHeight="true" outlineLevel="0" collapsed="false">
      <c r="A17" s="24" t="s">
        <v>24</v>
      </c>
      <c r="B17" s="18" t="s">
        <v>576</v>
      </c>
    </row>
    <row r="18" customFormat="false" ht="15" hidden="false" customHeight="true" outlineLevel="0" collapsed="false">
      <c r="A18" s="24" t="s">
        <v>246</v>
      </c>
      <c r="B18" s="18" t="s">
        <v>577</v>
      </c>
    </row>
    <row r="19" customFormat="false" ht="15" hidden="false" customHeight="true" outlineLevel="0" collapsed="false">
      <c r="A19" s="24" t="s">
        <v>247</v>
      </c>
      <c r="B19" s="18" t="s">
        <v>578</v>
      </c>
    </row>
    <row r="20" customFormat="false" ht="15" hidden="false" customHeight="true" outlineLevel="0" collapsed="false">
      <c r="A20" s="24" t="s">
        <v>25</v>
      </c>
      <c r="B20" s="18" t="s">
        <v>579</v>
      </c>
    </row>
    <row r="21" customFormat="false" ht="15" hidden="false" customHeight="true" outlineLevel="0" collapsed="false">
      <c r="A21" s="24" t="s">
        <v>248</v>
      </c>
      <c r="B21" s="18" t="s">
        <v>580</v>
      </c>
    </row>
    <row r="22" customFormat="false" ht="15" hidden="false" customHeight="true" outlineLevel="0" collapsed="false">
      <c r="A22" s="24" t="s">
        <v>26</v>
      </c>
      <c r="B22" s="18" t="s">
        <v>581</v>
      </c>
    </row>
    <row r="23" customFormat="false" ht="15" hidden="false" customHeight="true" outlineLevel="0" collapsed="false">
      <c r="A23" s="24" t="s">
        <v>27</v>
      </c>
      <c r="B23" s="18" t="s">
        <v>582</v>
      </c>
    </row>
    <row r="24" customFormat="false" ht="15" hidden="false" customHeight="true" outlineLevel="0" collapsed="false">
      <c r="A24" s="24" t="s">
        <v>28</v>
      </c>
      <c r="B24" s="18" t="s">
        <v>583</v>
      </c>
    </row>
    <row r="25" customFormat="false" ht="15" hidden="false" customHeight="true" outlineLevel="0" collapsed="false">
      <c r="A25" s="24" t="s">
        <v>29</v>
      </c>
      <c r="B25" s="18" t="s">
        <v>584</v>
      </c>
    </row>
    <row r="26" customFormat="false" ht="15" hidden="false" customHeight="true" outlineLevel="0" collapsed="false">
      <c r="A26" s="24" t="s">
        <v>585</v>
      </c>
      <c r="B26" s="18" t="s">
        <v>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true" outlineLevel="0" collapsed="false">
      <c r="A1" s="1" t="s">
        <v>587</v>
      </c>
    </row>
    <row r="2" customFormat="false" ht="15" hidden="false" customHeight="true" outlineLevel="0" collapsed="false">
      <c r="A2" s="1" t="s">
        <v>588</v>
      </c>
    </row>
    <row r="3" customFormat="false" ht="15" hidden="false" customHeight="true" outlineLevel="0" collapsed="false">
      <c r="A3" s="1" t="s">
        <v>589</v>
      </c>
    </row>
    <row r="4" customFormat="false" ht="15" hidden="false" customHeight="true" outlineLevel="0" collapsed="false">
      <c r="A4" s="1" t="s">
        <v>590</v>
      </c>
    </row>
    <row r="5" customFormat="false" ht="15" hidden="false" customHeight="true" outlineLevel="0" collapsed="false">
      <c r="A5" s="1" t="s">
        <v>591</v>
      </c>
    </row>
    <row r="6" customFormat="false" ht="15" hidden="false" customHeight="true" outlineLevel="0" collapsed="false">
      <c r="A6" s="1" t="s">
        <v>592</v>
      </c>
    </row>
    <row r="7" customFormat="false" ht="15" hidden="false" customHeight="true" outlineLevel="0" collapsed="false">
      <c r="A7" s="1" t="s">
        <v>593</v>
      </c>
    </row>
    <row r="8" customFormat="false" ht="15" hidden="false" customHeight="true" outlineLevel="0" collapsed="false">
      <c r="A8" s="1" t="s">
        <v>594</v>
      </c>
    </row>
    <row r="9" customFormat="false" ht="15" hidden="false" customHeight="true" outlineLevel="0" collapsed="false">
      <c r="A9" s="1" t="s">
        <v>595</v>
      </c>
    </row>
    <row r="10" customFormat="false" ht="15" hidden="false" customHeight="true" outlineLevel="0" collapsed="false">
      <c r="A10" s="1" t="s">
        <v>596</v>
      </c>
    </row>
    <row r="11" customFormat="false" ht="15" hidden="false" customHeight="true" outlineLevel="0" collapsed="false">
      <c r="A11" s="1" t="s">
        <v>597</v>
      </c>
    </row>
    <row r="12" customFormat="false" ht="15" hidden="false" customHeight="true" outlineLevel="0" collapsed="false">
      <c r="A12" s="1" t="s">
        <v>598</v>
      </c>
    </row>
    <row r="13" customFormat="false" ht="15" hidden="false" customHeight="true" outlineLevel="0" collapsed="false">
      <c r="A13" s="1" t="s">
        <v>599</v>
      </c>
    </row>
    <row r="14" customFormat="false" ht="15" hidden="false" customHeight="true" outlineLevel="0" collapsed="false">
      <c r="A14" s="1" t="s">
        <v>600</v>
      </c>
    </row>
    <row r="15" customFormat="false" ht="15" hidden="false" customHeight="true" outlineLevel="0" collapsed="false">
      <c r="A15" s="1" t="s">
        <v>601</v>
      </c>
    </row>
    <row r="16" customFormat="false" ht="15" hidden="false" customHeight="true" outlineLevel="0" collapsed="false">
      <c r="A16" s="1" t="s">
        <v>602</v>
      </c>
    </row>
    <row r="17" customFormat="false" ht="15" hidden="false" customHeight="true" outlineLevel="0" collapsed="false">
      <c r="A17" s="1" t="s">
        <v>603</v>
      </c>
    </row>
    <row r="18" customFormat="false" ht="15" hidden="false" customHeight="true" outlineLevel="0" collapsed="false">
      <c r="A18" s="1" t="s">
        <v>604</v>
      </c>
    </row>
    <row r="19" customFormat="false" ht="15" hidden="false" customHeight="true" outlineLevel="0" collapsed="false">
      <c r="A19" s="1" t="s">
        <v>605</v>
      </c>
    </row>
    <row r="20" customFormat="false" ht="15" hidden="false" customHeight="true" outlineLevel="0" collapsed="false">
      <c r="A20" s="1" t="s">
        <v>606</v>
      </c>
    </row>
    <row r="21" customFormat="false" ht="15" hidden="false" customHeight="true" outlineLevel="0" collapsed="false">
      <c r="A21" s="1" t="s">
        <v>607</v>
      </c>
    </row>
    <row r="22" customFormat="false" ht="15" hidden="false" customHeight="true" outlineLevel="0" collapsed="false">
      <c r="A22" s="1" t="s">
        <v>608</v>
      </c>
    </row>
    <row r="23" customFormat="false" ht="15" hidden="false" customHeight="true" outlineLevel="0" collapsed="false">
      <c r="A23" s="1" t="s">
        <v>609</v>
      </c>
    </row>
    <row r="24" customFormat="false" ht="15" hidden="false" customHeight="true" outlineLevel="0" collapsed="false">
      <c r="A24" s="1" t="s">
        <v>610</v>
      </c>
    </row>
    <row r="25" customFormat="false" ht="15" hidden="false" customHeight="true" outlineLevel="0" collapsed="false">
      <c r="A25" s="1" t="s">
        <v>611</v>
      </c>
    </row>
    <row r="26" customFormat="false" ht="15" hidden="false" customHeight="true" outlineLevel="0" collapsed="false">
      <c r="A26" s="1" t="s">
        <v>612</v>
      </c>
    </row>
    <row r="27" customFormat="false" ht="15" hidden="false" customHeight="true" outlineLevel="0" collapsed="false">
      <c r="A27" s="1" t="s">
        <v>613</v>
      </c>
    </row>
    <row r="28" customFormat="false" ht="15" hidden="false" customHeight="true" outlineLevel="0" collapsed="false">
      <c r="A28" s="1" t="s">
        <v>614</v>
      </c>
    </row>
    <row r="29" customFormat="false" ht="15" hidden="false" customHeight="true" outlineLevel="0" collapsed="false">
      <c r="A29" s="1" t="s">
        <v>615</v>
      </c>
    </row>
    <row r="30" customFormat="false" ht="15" hidden="false" customHeight="true" outlineLevel="0" collapsed="false">
      <c r="A30" s="1" t="s">
        <v>616</v>
      </c>
    </row>
    <row r="31" customFormat="false" ht="15" hidden="false" customHeight="true" outlineLevel="0" collapsed="false">
      <c r="A31" s="1" t="s">
        <v>617</v>
      </c>
    </row>
    <row r="32" customFormat="false" ht="15" hidden="false" customHeight="true" outlineLevel="0" collapsed="false">
      <c r="A32" s="1" t="s">
        <v>618</v>
      </c>
    </row>
    <row r="33" customFormat="false" ht="15" hidden="false" customHeight="true" outlineLevel="0" collapsed="false">
      <c r="A33" s="1" t="s">
        <v>619</v>
      </c>
    </row>
    <row r="34" customFormat="false" ht="15" hidden="false" customHeight="true" outlineLevel="0" collapsed="false">
      <c r="A34" s="1" t="s">
        <v>620</v>
      </c>
    </row>
    <row r="35" customFormat="false" ht="15" hidden="false" customHeight="true" outlineLevel="0" collapsed="false">
      <c r="A35" s="1" t="s">
        <v>621</v>
      </c>
    </row>
    <row r="36" customFormat="false" ht="15" hidden="false" customHeight="true" outlineLevel="0" collapsed="false">
      <c r="A36" s="1" t="s">
        <v>622</v>
      </c>
    </row>
    <row r="37" customFormat="false" ht="15" hidden="false" customHeight="true" outlineLevel="0" collapsed="false">
      <c r="A37" s="1" t="s">
        <v>623</v>
      </c>
    </row>
    <row r="38" customFormat="false" ht="15" hidden="false" customHeight="true" outlineLevel="0" collapsed="false">
      <c r="A38" s="1" t="s">
        <v>624</v>
      </c>
    </row>
    <row r="39" customFormat="false" ht="15" hidden="false" customHeight="true" outlineLevel="0" collapsed="false">
      <c r="A39" s="1" t="s">
        <v>625</v>
      </c>
    </row>
    <row r="40" customFormat="false" ht="15" hidden="false" customHeight="false" outlineLevel="0" collapsed="false">
      <c r="A40" s="0" t="s">
        <v>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2026-09-28T15:04:32Z</dcterms:created>
  <dc:creator>openpyxl</dc:creator>
  <dc:description/>
  <dc:language>en-US</dc:language>
  <cp:lastModifiedBy/>
  <dcterms:modified xsi:type="dcterms:W3CDTF">2026-09-29T14:58:10Z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