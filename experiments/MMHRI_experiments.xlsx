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s" sheetId="1" state="visible" r:id="rId2"/>
    <sheet name="Stage times" sheetId="2" state="visible" r:id="rId3"/>
    <sheet name="Conversation" sheetId="3" state="visible" r:id="rId4"/>
    <sheet name="VLA instructions" sheetId="4" state="visible" r:id="rId5"/>
    <sheet name="Summary" sheetId="5" state="visible" r:id="rId6"/>
    <sheet name="Definitions" sheetId="6" state="visible" r:id="rId7"/>
    <sheet name="_trials" sheetId="7" state="hidden" r:id="rId8"/>
  </sheets>
  <definedNames>
    <definedName function="false" hidden="true" localSheetId="2" name="_xlnm._FilterDatabase" vbProcedure="false">Conversation!$A$1:$E$1211</definedName>
    <definedName function="false" hidden="true" localSheetId="0" name="_xlnm._FilterDatabase" vbProcedure="false">Experiments!$A$1:$AI$89</definedName>
    <definedName function="false" hidden="true" localSheetId="1" name="_xlnm._FilterDatabase" vbProcedure="false">'Stage times'!$A$2:$AI$92</definedName>
    <definedName function="false" hidden="true" localSheetId="3" name="_xlnm._FilterDatabase" vbProcedure="false">'VLA instructions'!$A$1:$I$224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1" authorId="0">
      <text>
        <r>
          <rPr>
            <sz val="11"/>
            <color rgb="FF000000"/>
            <rFont val="Calibri"/>
            <family val="2"/>
            <charset val="1"/>
          </rPr>
          <t xml:space="preserve">The experiment doc's definition: from the moment the command was GIVEN (you stopped saying it; for a pick started by pointing, the moment the object was chosen) until the arm STARTS MOVING. Includes speech recognition, understanding, any clarification ('which one?'), choosing the object and planning.</t>
        </r>
      </text>
    </comment>
    <comment ref="S1" authorId="0">
      <text>
        <r>
          <rPr>
            <sz val="11"/>
            <color rgb="FF000000"/>
            <rFont val="Calibri"/>
            <family val="2"/>
            <charset val="1"/>
          </rPr>
          <t xml:space="preserve">From the first command (or the pointing choice) to the end of the robot's cycle (back home).</t>
        </r>
      </text>
    </comment>
    <comment ref="U1" authorId="0">
      <text>
        <r>
          <rPr>
            <sz val="11"/>
            <color rgb="FF000000"/>
            <rFont val="Calibri"/>
            <family val="2"/>
            <charset val="1"/>
          </rPr>
          <t xml:space="preserve">voice = the task began with a spoken command; pointing/click = the object was chosen by pointing or a click before anything was said.</t>
        </r>
      </text>
    </comment>
    <comment ref="V1" authorId="0">
      <text>
        <r>
          <rPr>
            <sz val="11"/>
            <color rgb="FF000000"/>
            <rFont val="Calibri"/>
            <family val="2"/>
            <charset val="1"/>
          </rPr>
          <t xml:space="preserve">instant rule = the fixed phrase layer (about 0.01 s); language model = Claude (about 1 s).</t>
        </r>
      </text>
    </comment>
    <comment ref="W1" authorId="0">
      <text>
        <r>
          <rPr>
            <sz val="11"/>
            <color rgb="FF000000"/>
            <rFont val="Calibri"/>
            <family val="2"/>
            <charset val="1"/>
          </rPr>
          <t xml:space="preserve">yes = GraspGen had already computed this object's grasps before the command (precompute); no = it ran after the command, and the operator waited for it.</t>
        </r>
      </text>
    </comment>
    <comment ref="X1" authorId="0">
      <text>
        <r>
          <rPr>
            <sz val="11"/>
            <color rgb="FF000000"/>
            <rFont val="Calibri"/>
            <family val="2"/>
            <charset val="1"/>
          </rPr>
          <t xml:space="preserve">How the approach was planned: curve = the smooth approach path (bend + straight slide); lines = blended straight-line segments, the fallback.</t>
        </r>
      </text>
    </comment>
    <comment ref="Y1" authorId="0">
      <text>
        <r>
          <rPr>
            <sz val="11"/>
            <color rgb="FF000000"/>
            <rFont val="Calibri"/>
            <family val="2"/>
            <charset val="1"/>
          </rPr>
          <t xml:space="preserve">yes = the executor had already verified this grasp could be reached (precheck hit), so it moved at once; no = it checked after the candidates arrived (precheck miss) and the operator waited for it.</t>
        </r>
      </text>
    </comment>
    <comment ref="Z1" authorId="0">
      <text>
        <r>
          <rPr>
            <sz val="11"/>
            <color rgb="FF000000"/>
            <rFont val="Calibri"/>
            <family val="2"/>
            <charset val="1"/>
          </rPr>
          <t xml:space="preserve">Which of the GraspGen candidates was executed ('1 of 26' = the best-ranked one).</t>
        </r>
      </text>
    </comment>
    <comment ref="AA1" authorId="0">
      <text>
        <r>
          <rPr>
            <sz val="11"/>
            <color rgb="FF000000"/>
            <rFont val="Calibri"/>
            <family val="2"/>
            <charset val="1"/>
          </rPr>
          <t xml:space="preserve">The command given → the gripper opened at the destination.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Time Morty waited for the operator: at 'Where should I drop it?', 'Should I open the gripper?' and 'Should I go back home?'.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Total time minus the time Morty waited for the operator.</t>
        </r>
      </text>
    </comment>
    <comment ref="AD1" authorId="0">
      <text>
        <r>
          <rPr>
            <sz val="11"/>
            <color rgb="FF000000"/>
            <rFont val="Calibri"/>
            <family val="2"/>
            <charset val="1"/>
          </rPr>
          <t xml:space="preserve">final = rebuilt from exact event times after the trial (the messages' own stamps, else the earliest recorder); preliminary = the window's own times at ⏹ (can be late under load).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2" authorId="0">
      <text>
        <r>
          <rPr>
            <sz val="11"/>
            <color rgb="FF000000"/>
            <rFont val="Calibri"/>
            <family val="2"/>
            <charset val="1"/>
          </rPr>
          <t xml:space="preserve">voice = the task began with a spoken command; pointing/click = the object was chosen by pointing or a click before anything was said.</t>
        </r>
      </text>
    </comment>
    <comment ref="F2" authorId="0">
      <text>
        <r>
          <rPr>
            <sz val="11"/>
            <color rgb="FF000000"/>
            <rFont val="Calibri"/>
            <family val="2"/>
            <charset val="1"/>
          </rPr>
          <t xml:space="preserve">The end-of-speech wait (0.5-0.8 s, to be sure you finished) plus speech recognition.</t>
        </r>
      </text>
    </comment>
    <comment ref="G2" authorId="0">
      <text>
        <r>
          <rPr>
            <sz val="11"/>
            <color rgb="FF000000"/>
            <rFont val="Calibri"/>
            <family val="2"/>
            <charset val="1"/>
          </rPr>
          <t xml:space="preserve">The end of the operator's voice → the robot command for that sentence.</t>
        </r>
      </text>
    </comment>
    <comment ref="H2" authorId="0">
      <text>
        <r>
          <rPr>
            <sz val="11"/>
            <color rgb="FF000000"/>
            <rFont val="Calibri"/>
            <family val="2"/>
            <charset val="1"/>
          </rPr>
          <t xml:space="preserve">The accepted transcript that caused the command → the command.</t>
        </r>
      </text>
    </comment>
    <comment ref="I2" authorId="0">
      <text>
        <r>
          <rPr>
            <sz val="11"/>
            <color rgb="FF000000"/>
            <rFont val="Calibri"/>
            <family val="2"/>
            <charset val="1"/>
          </rPr>
          <t xml:space="preserve">instant rule = the fixed phrase layer (about 0.01 s); language model = Claude (about 1 s).</t>
        </r>
      </text>
    </comment>
    <comment ref="J2" authorId="0">
      <text>
        <r>
          <rPr>
            <sz val="11"/>
            <color rgb="FF000000"/>
            <rFont val="Calibri"/>
            <family val="2"/>
            <charset val="1"/>
          </rPr>
          <t xml:space="preserve">The first command → the pipeline committing the object. Includes a clarification dialogue ('which one?') or the pointing, and handing the object's name to the pipeline.</t>
        </r>
      </text>
    </comment>
    <comment ref="K2" authorId="0">
      <text>
        <r>
          <rPr>
            <sz val="11"/>
            <color rgb="FF000000"/>
            <rFont val="Calibri"/>
            <family val="2"/>
            <charset val="1"/>
          </rPr>
          <t xml:space="preserve">The committed choice → grasp candidates published (capture, segmentation, the stored-grasp lookup, or GraspGen when nothing was stored).</t>
        </r>
      </text>
    </comment>
    <comment ref="L2" authorId="0">
      <text>
        <r>
          <rPr>
            <sz val="11"/>
            <color rgb="FF000000"/>
            <rFont val="Calibri"/>
            <family val="2"/>
            <charset val="1"/>
          </rPr>
          <t xml:space="preserve">yes = GraspGen had already computed this object's grasps before the command (precompute); no = it ran after the command, and the operator waited for it.</t>
        </r>
      </text>
    </comment>
    <comment ref="M2" authorId="0">
      <text>
        <r>
          <rPr>
            <sz val="11"/>
            <color rgb="FF000000"/>
            <rFont val="Calibri"/>
            <family val="2"/>
            <charset val="1"/>
          </rPr>
          <t xml:space="preserve">Duration of the GraspGen run whose grasps the robot executed.</t>
        </r>
      </text>
    </comment>
    <comment ref="N2" authorId="0">
      <text>
        <r>
          <rPr>
            <sz val="11"/>
            <color rgb="FF000000"/>
            <rFont val="Calibri"/>
            <family val="2"/>
            <charset val="1"/>
          </rPr>
          <t xml:space="preserve">How much of that run the operator actually waited for (0 = ready before).</t>
        </r>
      </text>
    </comment>
    <comment ref="O2" authorId="0">
      <text>
        <r>
          <rPr>
            <sz val="11"/>
            <color rgb="FF000000"/>
            <rFont val="Calibri"/>
            <family val="2"/>
            <charset val="1"/>
          </rPr>
          <t xml:space="preserve">How long before the choice the grasps were ready.</t>
        </r>
      </text>
    </comment>
    <comment ref="P2" authorId="0">
      <text>
        <r>
          <rPr>
            <sz val="11"/>
            <color rgb="FF000000"/>
            <rFont val="Calibri"/>
            <family val="2"/>
            <charset val="1"/>
          </rPr>
          <t xml:space="preserve">How the approach was planned: curve = the smooth approach path (bend + straight slide); lines = blended straight-line segments, the fallback.</t>
        </r>
      </text>
    </comment>
    <comment ref="Q2" authorId="0">
      <text>
        <r>
          <rPr>
            <sz val="11"/>
            <color rgb="FF000000"/>
            <rFont val="Calibri"/>
            <family val="2"/>
            <charset val="1"/>
          </rPr>
          <t xml:space="preserve">yes = the executor had already verified this grasp could be reached (precheck hit), so it moved at once; no = it checked after the candidates arrived (precheck miss) and the operator waited for it.</t>
        </r>
      </text>
    </comment>
    <comment ref="R2" authorId="0">
      <text>
        <r>
          <rPr>
            <sz val="11"/>
            <color rgb="FF000000"/>
            <rFont val="Calibri"/>
            <family val="2"/>
            <charset val="1"/>
          </rPr>
          <t xml:space="preserve">Time to verify the plan: the background probe (when checked in the background) or the probe after the candidates arrived.</t>
        </r>
      </text>
    </comment>
    <comment ref="S2" authorId="0">
      <text>
        <r>
          <rPr>
            <sz val="11"/>
            <color rgb="FF000000"/>
            <rFont val="Calibri"/>
            <family val="2"/>
            <charset val="1"/>
          </rPr>
          <t xml:space="preserve">What the operator actually waited in the executor, from the candidates to moving.</t>
        </r>
      </text>
    </comment>
    <comment ref="T2" authorId="0">
      <text>
        <r>
          <rPr>
            <sz val="11"/>
            <color rgb="FF000000"/>
            <rFont val="Calibri"/>
            <family val="2"/>
            <charset val="1"/>
          </rPr>
          <t xml:space="preserve">Which of the GraspGen candidates was executed ('1 of 26' = the best-ranked one).</t>
        </r>
      </text>
    </comment>
    <comment ref="U2" authorId="0">
      <text>
        <r>
          <rPr>
            <sz val="11"/>
            <color rgb="FF000000"/>
            <rFont val="Calibri"/>
            <family val="2"/>
            <charset val="1"/>
          </rPr>
          <t xml:space="preserve">How many candidates the executor probed before executing one.</t>
        </r>
      </text>
    </comment>
    <comment ref="AA2" authorId="0">
      <text>
        <r>
          <rPr>
            <sz val="11"/>
            <color rgb="FF000000"/>
            <rFont val="Calibri"/>
            <family val="2"/>
            <charset val="1"/>
          </rPr>
          <t xml:space="preserve">The command given → the gripper opened at the destination.</t>
        </r>
      </text>
    </comment>
    <comment ref="AB2" authorId="0">
      <text>
        <r>
          <rPr>
            <sz val="11"/>
            <color rgb="FF000000"/>
            <rFont val="Calibri"/>
            <family val="2"/>
            <charset val="1"/>
          </rPr>
          <t xml:space="preserve">Time Morty waited for the operator: at 'Where should I drop it?', 'Should I open the gripper?' and 'Should I go back home?'.</t>
        </r>
      </text>
    </comment>
    <comment ref="AC2" authorId="0">
      <text>
        <r>
          <rPr>
            <sz val="11"/>
            <color rgb="FF000000"/>
            <rFont val="Calibri"/>
            <family val="2"/>
            <charset val="1"/>
          </rPr>
          <t xml:space="preserve">Total time minus the time Morty waited for the operator.</t>
        </r>
      </text>
    </comment>
    <comment ref="AH2" authorId="0">
      <text>
        <r>
          <rPr>
            <sz val="11"/>
            <color rgb="FF000000"/>
            <rFont val="Calibri"/>
            <family val="2"/>
            <charset val="1"/>
          </rPr>
          <t xml:space="preserve">final = rebuilt from exact event times after the trial (the messages' own stamps, else the earliest recorder); preliminary = the window's own times at ⏹ (can be late under load).</t>
        </r>
      </text>
    </comment>
  </commentList>
</comments>
</file>

<file path=xl/sharedStrings.xml><?xml version="1.0" encoding="utf-8"?>
<sst xmlns="http://schemas.openxmlformats.org/spreadsheetml/2006/main" count="9165" uniqueCount="1230">
  <si>
    <t xml:space="preserve">Trial ID</t>
  </si>
  <si>
    <t xml:space="preserve">Date</t>
  </si>
  <si>
    <t xml:space="preserve">Task ID</t>
  </si>
  <si>
    <t xml:space="preserve">Scene Layout</t>
  </si>
  <si>
    <t xml:space="preserve">Scenario ID</t>
  </si>
  <si>
    <t xml:space="preserve">Scenario</t>
  </si>
  <si>
    <t xml:space="preserve">Level</t>
  </si>
  <si>
    <t xml:space="preserve">Modifiers</t>
  </si>
  <si>
    <t xml:space="preserve">Command Used</t>
  </si>
  <si>
    <t xml:space="preserve">Intended Target</t>
  </si>
  <si>
    <t xml:space="preserve">Intended Destination</t>
  </si>
  <si>
    <t xml:space="preserve">User Intent understood correctly?</t>
  </si>
  <si>
    <t xml:space="preserve">Object Detected?</t>
  </si>
  <si>
    <t xml:space="preserve">Correct Object Selected?</t>
  </si>
  <si>
    <t xml:space="preserve">Grasp Success?</t>
  </si>
  <si>
    <t xml:space="preserve">Action Executed Correctly?</t>
  </si>
  <si>
    <t xml:space="preserve">Full Task Success?</t>
  </si>
  <si>
    <t xml:space="preserve">Interaction Time (s)</t>
  </si>
  <si>
    <t xml:space="preserve">Total Time (s)</t>
  </si>
  <si>
    <t xml:space="preserve">Failure Category / Notes</t>
  </si>
  <si>
    <t xml:space="preserve">Started by</t>
  </si>
  <si>
    <t xml:space="preserve">Understood by</t>
  </si>
  <si>
    <t xml:space="preserve">GraspGen in background?</t>
  </si>
  <si>
    <t xml:space="preserve">Execution plan</t>
  </si>
  <si>
    <t xml:space="preserve">Plan checked in background?</t>
  </si>
  <si>
    <t xml:space="preserve">Grasp executed</t>
  </si>
  <si>
    <t xml:space="preserve">Command → object handed over (s)</t>
  </si>
  <si>
    <t xml:space="preserve">Waiting for your answers (s)</t>
  </si>
  <si>
    <t xml:space="preserve">Robot time (s)</t>
  </si>
  <si>
    <t xml:space="preserve">Times</t>
  </si>
  <si>
    <t xml:space="preserve">VLA task</t>
  </si>
  <si>
    <t xml:space="preserve">VLA outcome</t>
  </si>
  <si>
    <t xml:space="preserve">Folder</t>
  </si>
  <si>
    <t xml:space="preserve">Viewer</t>
  </si>
  <si>
    <t xml:space="preserve">Video</t>
  </si>
  <si>
    <t xml:space="preserve">086</t>
  </si>
  <si>
    <t xml:space="preserve">2026-09-28</t>
  </si>
  <si>
    <t xml:space="preserve">Layout A</t>
  </si>
  <si>
    <t xml:space="preserve">S1</t>
  </si>
  <si>
    <t xml:space="preserve">S1: Available objects — no physical action</t>
  </si>
  <si>
    <t xml:space="preserve">L1 single-step, explicit</t>
  </si>
  <si>
    <t xml:space="preserve">What do you see on the table?</t>
  </si>
  <si>
    <t xml:space="preserve">voice</t>
  </si>
  <si>
    <t xml:space="preserve">final</t>
  </si>
  <si>
    <t xml:space="preserve">trial_086_LA_S1</t>
  </si>
  <si>
    <t xml:space="preserve">video</t>
  </si>
  <si>
    <t xml:space="preserve">087</t>
  </si>
  <si>
    <t xml:space="preserve">S2</t>
  </si>
  <si>
    <t xml:space="preserve">S2: Object NOT in scene ('give me the book')</t>
  </si>
  <si>
    <t xml:space="preserve">Give me the book, Morty.</t>
  </si>
  <si>
    <t xml:space="preserve">tape_dispenser</t>
  </si>
  <si>
    <t xml:space="preserve">—</t>
  </si>
  <si>
    <t xml:space="preserve">trial_087_LA_S2</t>
  </si>
  <si>
    <t xml:space="preserve">088</t>
  </si>
  <si>
    <t xml:space="preserve">S3</t>
  </si>
  <si>
    <t xml:space="preserve">S3: One of a kind among others — ask for it</t>
  </si>
  <si>
    <t xml:space="preserve">Grasp for me the tape dispenser.</t>
  </si>
  <si>
    <t xml:space="preserve">drop_right</t>
  </si>
  <si>
    <t xml:space="preserve">yes</t>
  </si>
  <si>
    <t xml:space="preserve">instant rule</t>
  </si>
  <si>
    <t xml:space="preserve">curve</t>
  </si>
  <si>
    <t xml:space="preserve">1 of 26</t>
  </si>
  <si>
    <t xml:space="preserve">pick up the tape dispenser</t>
  </si>
  <si>
    <t xml:space="preserve">success</t>
  </si>
  <si>
    <t xml:space="preserve">trial_088_LA_S3</t>
  </si>
  <si>
    <t xml:space="preserve">viewer</t>
  </si>
  <si>
    <t xml:space="preserve">089</t>
  </si>
  <si>
    <t xml:space="preserve">S4</t>
  </si>
  <si>
    <t xml:space="preserve">S4: Two same kind — clarify by words (left/right/colour)</t>
  </si>
  <si>
    <t xml:space="preserve">Grasp for me the vitamin tube.</t>
  </si>
  <si>
    <t xml:space="preserve">vitamin_c</t>
  </si>
  <si>
    <t xml:space="preserve">drop_left</t>
  </si>
  <si>
    <t xml:space="preserve">1 of 11</t>
  </si>
  <si>
    <t xml:space="preserve">pick up the leftmost vitamin tube</t>
  </si>
  <si>
    <t xml:space="preserve">trial_089_LA_S4</t>
  </si>
  <si>
    <t xml:space="preserve">090</t>
  </si>
  <si>
    <t xml:space="preserve">S5</t>
  </si>
  <si>
    <t xml:space="preserve">S5: Two same kind — clarify by pointing</t>
  </si>
  <si>
    <t xml:space="preserve">vitamin_B12</t>
  </si>
  <si>
    <t xml:space="preserve">3 of 24</t>
  </si>
  <si>
    <t xml:space="preserve">pick up the vitamin tube</t>
  </si>
  <si>
    <t xml:space="preserve">trial_090_LA_S5</t>
  </si>
  <si>
    <t xml:space="preserve">091</t>
  </si>
  <si>
    <t xml:space="preserve">S6</t>
  </si>
  <si>
    <t xml:space="preserve">S6: Pointing only (with confirmation)</t>
  </si>
  <si>
    <t xml:space="preserve">M1</t>
  </si>
  <si>
    <t xml:space="preserve">Drop it on the right side.</t>
  </si>
  <si>
    <t xml:space="preserve">pointing/click</t>
  </si>
  <si>
    <t xml:space="preserve">1 of 25</t>
  </si>
  <si>
    <t xml:space="preserve">trial_091_LA_S6</t>
  </si>
  <si>
    <t xml:space="preserve">092</t>
  </si>
  <si>
    <t xml:space="preserve">Morty, could you please tell me which objects you can pick up right now?</t>
  </si>
  <si>
    <t xml:space="preserve">trial_092_LA_S1</t>
  </si>
  <si>
    <t xml:space="preserve">093</t>
  </si>
  <si>
    <t xml:space="preserve">Could you please bring me my phone?</t>
  </si>
  <si>
    <t xml:space="preserve">phone</t>
  </si>
  <si>
    <t xml:space="preserve">trial_093_LA_S2</t>
  </si>
  <si>
    <t xml:space="preserve">095</t>
  </si>
  <si>
    <t xml:space="preserve">Could you slowly bring me the small bottle, please?</t>
  </si>
  <si>
    <t xml:space="preserve">small_bottle</t>
  </si>
  <si>
    <t xml:space="preserve">language model</t>
  </si>
  <si>
    <t xml:space="preserve">3 of 18</t>
  </si>
  <si>
    <t xml:space="preserve">pick up the small bottle</t>
  </si>
  <si>
    <t xml:space="preserve">trial_095_LA_S3</t>
  </si>
  <si>
    <t xml:space="preserve">097</t>
  </si>
  <si>
    <t xml:space="preserve">Get me the vitamin tube.</t>
  </si>
  <si>
    <t xml:space="preserve">no</t>
  </si>
  <si>
    <t xml:space="preserve">1 of 24</t>
  </si>
  <si>
    <t xml:space="preserve">trial_097_LA_S5</t>
  </si>
  <si>
    <t xml:space="preserve">096</t>
  </si>
  <si>
    <t xml:space="preserve">home</t>
  </si>
  <si>
    <t xml:space="preserve">2 of 25</t>
  </si>
  <si>
    <t xml:space="preserve">pick up the rightmost vitamin tube</t>
  </si>
  <si>
    <t xml:space="preserve">trial_096_LA_S4</t>
  </si>
  <si>
    <t xml:space="preserve">099</t>
  </si>
  <si>
    <t xml:space="preserve">Can you give me the small bottle?</t>
  </si>
  <si>
    <t xml:space="preserve">2 of 13</t>
  </si>
  <si>
    <t xml:space="preserve">trial_099_LA_S3</t>
  </si>
  <si>
    <t xml:space="preserve">100</t>
  </si>
  <si>
    <t xml:space="preserve">I need a tape dispenser.</t>
  </si>
  <si>
    <t xml:space="preserve">5 of 17</t>
  </si>
  <si>
    <t xml:space="preserve">trial_100_LA_S3</t>
  </si>
  <si>
    <t xml:space="preserve">101</t>
  </si>
  <si>
    <t xml:space="preserve">M3</t>
  </si>
  <si>
    <t xml:space="preserve">Give me the vitamin tube.</t>
  </si>
  <si>
    <t xml:space="preserve">1 of 16</t>
  </si>
  <si>
    <t xml:space="preserve">trial_101_LA_S4</t>
  </si>
  <si>
    <t xml:space="preserve">105</t>
  </si>
  <si>
    <t xml:space="preserve">Tell me Morty, what kind of object are you seeing right now?</t>
  </si>
  <si>
    <t xml:space="preserve">trial_105_LA_S1</t>
  </si>
  <si>
    <t xml:space="preserve">107</t>
  </si>
  <si>
    <t xml:space="preserve">Give me the toy faucet.</t>
  </si>
  <si>
    <t xml:space="preserve">toy_faucet</t>
  </si>
  <si>
    <t xml:space="preserve">trial_107_LA_S2</t>
  </si>
  <si>
    <t xml:space="preserve">108</t>
  </si>
  <si>
    <t xml:space="preserve">Can you give me the white bottle</t>
  </si>
  <si>
    <t xml:space="preserve">4 of 19</t>
  </si>
  <si>
    <t xml:space="preserve">trial_108_LA_S3</t>
  </si>
  <si>
    <t xml:space="preserve">109</t>
  </si>
  <si>
    <t xml:space="preserve">1 of 23</t>
  </si>
  <si>
    <t xml:space="preserve">trial_109_LA_S4</t>
  </si>
  <si>
    <t xml:space="preserve">110</t>
  </si>
  <si>
    <t xml:space="preserve">Intent first misunderstood because of an incorrect voice transcription ("Yes, say a long one." — Morty told a story); understood after that ("No.", "The yellow one.").</t>
  </si>
  <si>
    <t xml:space="preserve">1 of 15</t>
  </si>
  <si>
    <t xml:space="preserve">trial_110_LA_S5</t>
  </si>
  <si>
    <t xml:space="preserve">111</t>
  </si>
  <si>
    <t xml:space="preserve">Yes, grasp it.</t>
  </si>
  <si>
    <t xml:space="preserve">1 of 13</t>
  </si>
  <si>
    <t xml:space="preserve">trial_111_LA_S6</t>
  </si>
  <si>
    <t xml:space="preserve">112</t>
  </si>
  <si>
    <t xml:space="preserve">S7</t>
  </si>
  <si>
    <t xml:space="preserve">S7: Moving without grasping</t>
  </si>
  <si>
    <t xml:space="preserve">Look at the left, then the right, then go back home.</t>
  </si>
  <si>
    <t xml:space="preserve">trial_112_LA_S7</t>
  </si>
  <si>
    <t xml:space="preserve">114</t>
  </si>
  <si>
    <t xml:space="preserve">2026-09-29</t>
  </si>
  <si>
    <t xml:space="preserve">Morty, look at the right side first, then go home.</t>
  </si>
  <si>
    <t xml:space="preserve">look to the right</t>
  </si>
  <si>
    <t xml:space="preserve">trial_114_LA_S7</t>
  </si>
  <si>
    <t xml:space="preserve">113</t>
  </si>
  <si>
    <t xml:space="preserve">Morty, how are you? Can you look at the left side, then go to the drop right side.</t>
  </si>
  <si>
    <t xml:space="preserve">look to the left</t>
  </si>
  <si>
    <t xml:space="preserve">trial_113_LA_S7</t>
  </si>
  <si>
    <t xml:space="preserve">115</t>
  </si>
  <si>
    <t xml:space="preserve">Yes, grasp a small bottle for me.</t>
  </si>
  <si>
    <t xml:space="preserve">1 of 28</t>
  </si>
  <si>
    <t xml:space="preserve">trial_115_LA_S6</t>
  </si>
  <si>
    <t xml:space="preserve">116</t>
  </si>
  <si>
    <t xml:space="preserve">How many vitamins tubes do you see and where are they</t>
  </si>
  <si>
    <t xml:space="preserve">trial_116_LA_S1</t>
  </si>
  <si>
    <t xml:space="preserve">117</t>
  </si>
  <si>
    <t xml:space="preserve">Grasp.</t>
  </si>
  <si>
    <t xml:space="preserve">banana</t>
  </si>
  <si>
    <t xml:space="preserve">trial_117_LA_S2</t>
  </si>
  <si>
    <t xml:space="preserve">118</t>
  </si>
  <si>
    <t xml:space="preserve">Pick up the tape dispenser and put it on the right side.</t>
  </si>
  <si>
    <t xml:space="preserve">2 of 15</t>
  </si>
  <si>
    <t xml:space="preserve">pick up the tape dispenser and put it on drop_right</t>
  </si>
  <si>
    <t xml:space="preserve">trial_118_LA_S1</t>
  </si>
  <si>
    <t xml:space="preserve">119</t>
  </si>
  <si>
    <t xml:space="preserve">Bring me the vitamins.</t>
  </si>
  <si>
    <t xml:space="preserve">1 of 35</t>
  </si>
  <si>
    <t xml:space="preserve">trial_119_LA_S4</t>
  </si>
  <si>
    <t xml:space="preserve">120</t>
  </si>
  <si>
    <t xml:space="preserve">Pick for me the vitamin tube.</t>
  </si>
  <si>
    <t xml:space="preserve">vitamin_b12</t>
  </si>
  <si>
    <t xml:space="preserve">1 of 21</t>
  </si>
  <si>
    <t xml:space="preserve">trial_120_LA_S5</t>
  </si>
  <si>
    <t xml:space="preserve">121</t>
  </si>
  <si>
    <t xml:space="preserve">M1;M3</t>
  </si>
  <si>
    <t xml:space="preserve">Yes, grasp this vitamin tube.</t>
  </si>
  <si>
    <t xml:space="preserve">home and drop right</t>
  </si>
  <si>
    <t xml:space="preserve">1 of 22</t>
  </si>
  <si>
    <t xml:space="preserve">trial_121_LA_S6</t>
  </si>
  <si>
    <t xml:space="preserve">122</t>
  </si>
  <si>
    <t xml:space="preserve">M2;M3</t>
  </si>
  <si>
    <t xml:space="preserve">Hello Morty, tell me a story while you are looking at the right side.</t>
  </si>
  <si>
    <t xml:space="preserve">unknown</t>
  </si>
  <si>
    <t xml:space="preserve">trial_122_LA_S7</t>
  </si>
  <si>
    <t xml:space="preserve">123</t>
  </si>
  <si>
    <t xml:space="preserve">Hi Morty, before we start, tell me everything that is in front of you from left to right.</t>
  </si>
  <si>
    <t xml:space="preserve">trial_123_LA_S1</t>
  </si>
  <si>
    <t xml:space="preserve">124</t>
  </si>
  <si>
    <t xml:space="preserve">Morty, I'm really thirsty. Can you hand me the coffee?</t>
  </si>
  <si>
    <t xml:space="preserve">coffe mug</t>
  </si>
  <si>
    <t xml:space="preserve">trial_124_LA_S2</t>
  </si>
  <si>
    <t xml:space="preserve">126</t>
  </si>
  <si>
    <t xml:space="preserve">Morty, give me the vitamin tube.</t>
  </si>
  <si>
    <t xml:space="preserve">drop_left then home then right</t>
  </si>
  <si>
    <t xml:space="preserve">pick up the red vitamin tube</t>
  </si>
  <si>
    <t xml:space="preserve">trial_126_LA_S4</t>
  </si>
  <si>
    <t xml:space="preserve">127</t>
  </si>
  <si>
    <t xml:space="preserve">home then drop left.</t>
  </si>
  <si>
    <t xml:space="preserve">trial_127_LA_S5</t>
  </si>
  <si>
    <t xml:space="preserve">128</t>
  </si>
  <si>
    <t xml:space="preserve">He has grasped this vitamin tube. The pitbull, is it the pitbull or not?</t>
  </si>
  <si>
    <t xml:space="preserve">Vitamin B12</t>
  </si>
  <si>
    <t xml:space="preserve">drop left then drop right</t>
  </si>
  <si>
    <t xml:space="preserve">1 of 17</t>
  </si>
  <si>
    <t xml:space="preserve">trial_128_LA_S6</t>
  </si>
  <si>
    <t xml:space="preserve">129</t>
  </si>
  <si>
    <t xml:space="preserve">Now go to the drop right. While you are doing that, tell me a good story.</t>
  </si>
  <si>
    <t xml:space="preserve">drop it on the right side</t>
  </si>
  <si>
    <t xml:space="preserve">trial_129_LA_S7</t>
  </si>
  <si>
    <t xml:space="preserve">125</t>
  </si>
  <si>
    <t xml:space="preserve">Morty, I need to seal a parcel. Would you grab for me the tape dispenser?</t>
  </si>
  <si>
    <t xml:space="preserve">drop_right then home</t>
  </si>
  <si>
    <t xml:space="preserve">1 of 20</t>
  </si>
  <si>
    <t xml:space="preserve">trial_125_LA_S3</t>
  </si>
  <si>
    <t xml:space="preserve">131</t>
  </si>
  <si>
    <t xml:space="preserve">2026-09-30</t>
  </si>
  <si>
    <t xml:space="preserve">Layout B</t>
  </si>
  <si>
    <t xml:space="preserve">Tell me what is on the table.</t>
  </si>
  <si>
    <t xml:space="preserve">trial_131_LB_S2</t>
  </si>
  <si>
    <t xml:space="preserve">132</t>
  </si>
  <si>
    <t xml:space="preserve">Handel me the scissors.</t>
  </si>
  <si>
    <t xml:space="preserve">wooden_maze_puzzle</t>
  </si>
  <si>
    <t xml:space="preserve">trial_132_LB_S2</t>
  </si>
  <si>
    <t xml:space="preserve">133</t>
  </si>
  <si>
    <t xml:space="preserve">Grasp for me the wooden maze puzzle.</t>
  </si>
  <si>
    <t xml:space="preserve">1 of 6</t>
  </si>
  <si>
    <t xml:space="preserve">pick up the wooden maze puzzle</t>
  </si>
  <si>
    <t xml:space="preserve">trial_133_LB_S3</t>
  </si>
  <si>
    <t xml:space="preserve">135</t>
  </si>
  <si>
    <t xml:space="preserve">Morty, give me the vitamin.</t>
  </si>
  <si>
    <t xml:space="preserve">Vitamin Multi</t>
  </si>
  <si>
    <t xml:space="preserve">2 of 21</t>
  </si>
  <si>
    <t xml:space="preserve">pick up the blue vitamin c</t>
  </si>
  <si>
    <t xml:space="preserve">trial_135_LB_S4</t>
  </si>
  <si>
    <t xml:space="preserve">136</t>
  </si>
  <si>
    <t xml:space="preserve">Give me a vitamin tube.</t>
  </si>
  <si>
    <t xml:space="preserve">drop_left then home</t>
  </si>
  <si>
    <t xml:space="preserve">6 of 19</t>
  </si>
  <si>
    <t xml:space="preserve">trial_136_LB_S5</t>
  </si>
  <si>
    <t xml:space="preserve">137</t>
  </si>
  <si>
    <t xml:space="preserve">Is this a small bottle?</t>
  </si>
  <si>
    <t xml:space="preserve">home then drop_right</t>
  </si>
  <si>
    <t xml:space="preserve">trial_137_LB_S6</t>
  </si>
  <si>
    <t xml:space="preserve">138</t>
  </si>
  <si>
    <t xml:space="preserve">Morty, can you tell me what doesn't mean that you are looking at the left side?</t>
  </si>
  <si>
    <t xml:space="preserve">trial_138_LA_S7</t>
  </si>
  <si>
    <t xml:space="preserve">139</t>
  </si>
  <si>
    <t xml:space="preserve">Can you name everything you would able to grasp for me</t>
  </si>
  <si>
    <t xml:space="preserve">trial_139_LB_S1</t>
  </si>
  <si>
    <t xml:space="preserve">140</t>
  </si>
  <si>
    <t xml:space="preserve">Grasp for me the pen.</t>
  </si>
  <si>
    <t xml:space="preserve">Pen</t>
  </si>
  <si>
    <t xml:space="preserve">trial_140_LB_S2</t>
  </si>
  <si>
    <t xml:space="preserve">143</t>
  </si>
  <si>
    <t xml:space="preserve">You know, give me the small bottle.</t>
  </si>
  <si>
    <t xml:space="preserve">1 of 33</t>
  </si>
  <si>
    <t xml:space="preserve">trial_143_LA_S3</t>
  </si>
  <si>
    <t xml:space="preserve">144</t>
  </si>
  <si>
    <t xml:space="preserve">Can I have one of those vitamin tubes?</t>
  </si>
  <si>
    <t xml:space="preserve">he couldnt grasp the first grasp he needed a second time with confermation.</t>
  </si>
  <si>
    <t xml:space="preserve">pick up the leftmost red vitamin tube</t>
  </si>
  <si>
    <t xml:space="preserve">trial_144_LB_S4</t>
  </si>
  <si>
    <t xml:space="preserve">146</t>
  </si>
  <si>
    <t xml:space="preserve">Give me this object.</t>
  </si>
  <si>
    <t xml:space="preserve">trial_146_LB_S6</t>
  </si>
  <si>
    <t xml:space="preserve">147</t>
  </si>
  <si>
    <t xml:space="preserve">Morty, look.</t>
  </si>
  <si>
    <t xml:space="preserve">trial_147_LB_S7</t>
  </si>
  <si>
    <t xml:space="preserve">148</t>
  </si>
  <si>
    <t xml:space="preserve">Is there any kind of a small bottle in front of you</t>
  </si>
  <si>
    <t xml:space="preserve">trial_148_LB_S1</t>
  </si>
  <si>
    <t xml:space="preserve">149</t>
  </si>
  <si>
    <t xml:space="preserve">Take the apple and drop it on the left side.</t>
  </si>
  <si>
    <t xml:space="preserve">apple</t>
  </si>
  <si>
    <t xml:space="preserve">trial_149_LB_S2</t>
  </si>
  <si>
    <t xml:space="preserve">150</t>
  </si>
  <si>
    <t xml:space="preserve">Give me the small bottle.</t>
  </si>
  <si>
    <t xml:space="preserve">1 of 27</t>
  </si>
  <si>
    <t xml:space="preserve">trial_150_LB_S3</t>
  </si>
  <si>
    <t xml:space="preserve">154</t>
  </si>
  <si>
    <t xml:space="preserve">1 of 8</t>
  </si>
  <si>
    <t xml:space="preserve">trial_154_LB_S6</t>
  </si>
  <si>
    <t xml:space="preserve">151</t>
  </si>
  <si>
    <t xml:space="preserve">Now give me the vitamin tube.</t>
  </si>
  <si>
    <t xml:space="preserve">4 of 20</t>
  </si>
  <si>
    <t xml:space="preserve">trial_151_LB_S4</t>
  </si>
  <si>
    <t xml:space="preserve">152</t>
  </si>
  <si>
    <t xml:space="preserve">Grasp for me this vitamin tube.</t>
  </si>
  <si>
    <t xml:space="preserve">vitamin_Multivitamin</t>
  </si>
  <si>
    <t xml:space="preserve">took alot of time to get the correct poitning and didnt understand correctly becuase he didnt hear correclty...</t>
  </si>
  <si>
    <t xml:space="preserve">1 of 19</t>
  </si>
  <si>
    <t xml:space="preserve">trial_152_LB_S5</t>
  </si>
  <si>
    <t xml:space="preserve">155</t>
  </si>
  <si>
    <t xml:space="preserve">Now look at the left, then go to the drop right.</t>
  </si>
  <si>
    <t xml:space="preserve">trial_155_LB_S7</t>
  </si>
  <si>
    <t xml:space="preserve">145</t>
  </si>
  <si>
    <t xml:space="preserve">Now grasp for me one of those vitamin tubes.</t>
  </si>
  <si>
    <t xml:space="preserve">8 of 23</t>
  </si>
  <si>
    <t xml:space="preserve">trial_145_LB_S5</t>
  </si>
  <si>
    <t xml:space="preserve">156</t>
  </si>
  <si>
    <t xml:space="preserve">Good evening Morty, I just rearranged the table. What can you see right now?</t>
  </si>
  <si>
    <t xml:space="preserve">trial_156_LB_S1</t>
  </si>
  <si>
    <t xml:space="preserve">157</t>
  </si>
  <si>
    <t xml:space="preserve">Morty, I lost my keys. If you see them, grasp them.</t>
  </si>
  <si>
    <t xml:space="preserve">keys</t>
  </si>
  <si>
    <t xml:space="preserve">trial_157_LB_S2</t>
  </si>
  <si>
    <t xml:space="preserve">158</t>
  </si>
  <si>
    <t xml:space="preserve">trial_158_LB_S3</t>
  </si>
  <si>
    <t xml:space="preserve">159</t>
  </si>
  <si>
    <t xml:space="preserve">M2</t>
  </si>
  <si>
    <t xml:space="preserve">Give me the vitamin tube that on the right side.</t>
  </si>
  <si>
    <t xml:space="preserve">trial_159_LB_S4</t>
  </si>
  <si>
    <t xml:space="preserve">160</t>
  </si>
  <si>
    <t xml:space="preserve">Grasp for me this.</t>
  </si>
  <si>
    <t xml:space="preserve">trial_160_LB_S5</t>
  </si>
  <si>
    <t xml:space="preserve">161</t>
  </si>
  <si>
    <t xml:space="preserve">Morty, grasp for me, please.</t>
  </si>
  <si>
    <t xml:space="preserve">2 of 22</t>
  </si>
  <si>
    <t xml:space="preserve">trial_161_LB_S6</t>
  </si>
  <si>
    <t xml:space="preserve">162</t>
  </si>
  <si>
    <t xml:space="preserve">Morty, I want you to look at the</t>
  </si>
  <si>
    <t xml:space="preserve">trial_162_LB_S7</t>
  </si>
  <si>
    <t xml:space="preserve">163</t>
  </si>
  <si>
    <t xml:space="preserve">Morty, which object is the one that is far left?</t>
  </si>
  <si>
    <t xml:space="preserve">trial_163_LB_S1</t>
  </si>
  <si>
    <t xml:space="preserve">164</t>
  </si>
  <si>
    <t xml:space="preserve">Pick up for me the tape dispenser.</t>
  </si>
  <si>
    <t xml:space="preserve">trial_164_LB_S2</t>
  </si>
  <si>
    <t xml:space="preserve">166</t>
  </si>
  <si>
    <t xml:space="preserve">Grasp for me the small bottle.</t>
  </si>
  <si>
    <t xml:space="preserve">trial_166_LB_S3</t>
  </si>
  <si>
    <t xml:space="preserve">167</t>
  </si>
  <si>
    <t xml:space="preserve">Grasp for me the vitamin B12.</t>
  </si>
  <si>
    <t xml:space="preserve">drop_left then drop_right</t>
  </si>
  <si>
    <t xml:space="preserve">trial_167_LB_S4</t>
  </si>
  <si>
    <t xml:space="preserve">168</t>
  </si>
  <si>
    <t xml:space="preserve">Morty.</t>
  </si>
  <si>
    <t xml:space="preserve">he open the gripper then he go to the home poistion which is wrong.</t>
  </si>
  <si>
    <t xml:space="preserve">4 of 28</t>
  </si>
  <si>
    <t xml:space="preserve">trial_168_LB_S5</t>
  </si>
  <si>
    <t xml:space="preserve">169</t>
  </si>
  <si>
    <t xml:space="preserve">Pick for me this item.</t>
  </si>
  <si>
    <t xml:space="preserve">home then drop_left</t>
  </si>
  <si>
    <t xml:space="preserve">trial_169_LB_S6</t>
  </si>
  <si>
    <t xml:space="preserve">170</t>
  </si>
  <si>
    <t xml:space="preserve">Give me this vitamin bit.</t>
  </si>
  <si>
    <t xml:space="preserve">9 of 24</t>
  </si>
  <si>
    <t xml:space="preserve">trial_170_LB_S6</t>
  </si>
  <si>
    <t xml:space="preserve">171</t>
  </si>
  <si>
    <t xml:space="preserve">Now Morty, look at the right position.</t>
  </si>
  <si>
    <t xml:space="preserve">trial_171_LB_S7</t>
  </si>
  <si>
    <t xml:space="preserve">172</t>
  </si>
  <si>
    <t xml:space="preserve">Layout C</t>
  </si>
  <si>
    <t xml:space="preserve">Morty, list all the objects that you can see right now.</t>
  </si>
  <si>
    <t xml:space="preserve">trial_172_LC_S1</t>
  </si>
  <si>
    <t xml:space="preserve">173</t>
  </si>
  <si>
    <t xml:space="preserve">Give me the remote control.</t>
  </si>
  <si>
    <t xml:space="preserve">trial_173_LC_S2</t>
  </si>
  <si>
    <t xml:space="preserve">174</t>
  </si>
  <si>
    <t xml:space="preserve">Could you give me the vitamin C?</t>
  </si>
  <si>
    <t xml:space="preserve">he didtn know where he is for a second and thought he can move once  again.</t>
  </si>
  <si>
    <t xml:space="preserve">1 of 34</t>
  </si>
  <si>
    <t xml:space="preserve">pick up the yellow vitamin tube</t>
  </si>
  <si>
    <t xml:space="preserve">trial_174_LC_S3</t>
  </si>
  <si>
    <t xml:space="preserve">175</t>
  </si>
  <si>
    <t xml:space="preserve">2026-10-01</t>
  </si>
  <si>
    <t xml:space="preserve">List to me all objects that you can see right now.</t>
  </si>
  <si>
    <t xml:space="preserve">trial_175_LC_S1</t>
  </si>
  <si>
    <t xml:space="preserve">176</t>
  </si>
  <si>
    <t xml:space="preserve">Do you see my headphones Can you grasp it for me</t>
  </si>
  <si>
    <t xml:space="preserve">Headphones</t>
  </si>
  <si>
    <t xml:space="preserve">trial_176_LC_S2</t>
  </si>
  <si>
    <t xml:space="preserve">178</t>
  </si>
  <si>
    <t xml:space="preserve">pick up the blue vitamin tube</t>
  </si>
  <si>
    <t xml:space="preserve">trial_178_LC_S4</t>
  </si>
  <si>
    <t xml:space="preserve">180</t>
  </si>
  <si>
    <t xml:space="preserve">Morty, grasp.</t>
  </si>
  <si>
    <t xml:space="preserve">1 of 29</t>
  </si>
  <si>
    <t xml:space="preserve">pick up the second vitamin tube from the left</t>
  </si>
  <si>
    <t xml:space="preserve">trial_180_LA_S4</t>
  </si>
  <si>
    <t xml:space="preserve">181</t>
  </si>
  <si>
    <t xml:space="preserve">Crust form is a vitamin tube.</t>
  </si>
  <si>
    <t xml:space="preserve">trial_181_LA_S5</t>
  </si>
  <si>
    <t xml:space="preserve">182</t>
  </si>
  <si>
    <t xml:space="preserve">2 of 16</t>
  </si>
  <si>
    <t xml:space="preserve">trial_182_LC_S6</t>
  </si>
  <si>
    <t xml:space="preserve">183</t>
  </si>
  <si>
    <t xml:space="preserve">Morty look at the right.</t>
  </si>
  <si>
    <t xml:space="preserve">trial_183_LC_S7</t>
  </si>
  <si>
    <t xml:space="preserve">184</t>
  </si>
  <si>
    <t xml:space="preserve">Could you describe the scene for me?</t>
  </si>
  <si>
    <t xml:space="preserve">trial_184_LC_S1</t>
  </si>
  <si>
    <t xml:space="preserve">177</t>
  </si>
  <si>
    <t xml:space="preserve">1 of 31</t>
  </si>
  <si>
    <t xml:space="preserve">trial_177_LC_S3</t>
  </si>
  <si>
    <t xml:space="preserve">186</t>
  </si>
  <si>
    <t xml:space="preserve">Tell me a small story and bring me the stable.</t>
  </si>
  <si>
    <t xml:space="preserve">stapler</t>
  </si>
  <si>
    <t xml:space="preserve">he understand kind correctly but he didnt tell me the story from the first time.</t>
  </si>
  <si>
    <t xml:space="preserve">trial_186_LC_S2</t>
  </si>
  <si>
    <t xml:space="preserve">187</t>
  </si>
  <si>
    <t xml:space="preserve">Crasp the small bottle.</t>
  </si>
  <si>
    <t xml:space="preserve">trial_187_LA_S3</t>
  </si>
  <si>
    <t xml:space="preserve">Interaction</t>
  </si>
  <si>
    <t xml:space="preserve">Voice</t>
  </si>
  <si>
    <t xml:space="preserve">Choice</t>
  </si>
  <si>
    <t xml:space="preserve">Perception</t>
  </si>
  <si>
    <t xml:space="preserve">GraspGen</t>
  </si>
  <si>
    <t xml:space="preserve">Motion</t>
  </si>
  <si>
    <t xml:space="preserve">Totals</t>
  </si>
  <si>
    <t xml:space="preserve">Dialogue</t>
  </si>
  <si>
    <t xml:space="preserve">Interaction Time: command given → arm starts moving (s)</t>
  </si>
  <si>
    <t xml:space="preserve">End of your voice → transcript (s)</t>
  </si>
  <si>
    <t xml:space="preserve">You stopped speaking → command (s)</t>
  </si>
  <si>
    <t xml:space="preserve">Understanding: transcript → command (s)</t>
  </si>
  <si>
    <t xml:space="preserve">Command → object chosen, incl. clarification (s)</t>
  </si>
  <si>
    <t xml:space="preserve">Object chosen → grasp candidates (s)</t>
  </si>
  <si>
    <t xml:space="preserve">GraspGen compute (s)</t>
  </si>
  <si>
    <t xml:space="preserve">GraspGen waited for after the choice (s)</t>
  </si>
  <si>
    <t xml:space="preserve">GraspGen ready before the choice (s)</t>
  </si>
  <si>
    <t xml:space="preserve">Plan compute (s)</t>
  </si>
  <si>
    <t xml:space="preserve">Candidates → motion start (s)</t>
  </si>
  <si>
    <t xml:space="preserve">Grasps checked</t>
  </si>
  <si>
    <t xml:space="preserve">Approach (s)</t>
  </si>
  <si>
    <t xml:space="preserve">Arrival → grasp verdict (s)</t>
  </si>
  <si>
    <t xml:space="preserve">Waiting for the drop side (s)</t>
  </si>
  <si>
    <t xml:space="preserve">Transport to the drop (s)</t>
  </si>
  <si>
    <t xml:space="preserve">Motion start → home (s)</t>
  </si>
  <si>
    <t xml:space="preserve">Total (s)</t>
  </si>
  <si>
    <t xml:space="preserve">Morty's questions</t>
  </si>
  <si>
    <t xml:space="preserve">Your sentences</t>
  </si>
  <si>
    <t xml:space="preserve">Path</t>
  </si>
  <si>
    <t xml:space="preserve">Window was late by, max (s)</t>
  </si>
  <si>
    <t xml:space="preserve">precomputed</t>
  </si>
  <si>
    <t xml:space="preserve">094</t>
  </si>
  <si>
    <t xml:space="preserve">fresh</t>
  </si>
  <si>
    <t xml:space="preserve">153</t>
  </si>
  <si>
    <t xml:space="preserve">t in trial (s)</t>
  </si>
  <si>
    <t xml:space="preserve">Who</t>
  </si>
  <si>
    <t xml:space="preserve">Text</t>
  </si>
  <si>
    <t xml:space="preserve">You</t>
  </si>
  <si>
    <t xml:space="preserve">Morty</t>
  </si>
  <si>
    <t xml:space="preserve">I see a Vitamin C, a tape dispenser, a small bottle, and a Vitamin B12.</t>
  </si>
  <si>
    <t xml:space="preserve">I don't see a book on the table.</t>
  </si>
  <si>
    <t xml:space="preserve">Would you like me to pick one of those instead?</t>
  </si>
  <si>
    <t xml:space="preserve">Robot command</t>
  </si>
  <si>
    <t xml:space="preserve">pick tape dispenser</t>
  </si>
  <si>
    <t xml:space="preserve">Starting grasp on the tape dispenser.</t>
  </si>
  <si>
    <t xml:space="preserve">Got the tape dispenser. Where should I drop it? Left, right, or home?</t>
  </si>
  <si>
    <t xml:space="preserve">Going to drop right.</t>
  </si>
  <si>
    <t xml:space="preserve">I'm at the drop right position, still holding the tape dispenser. Should I open the gripper?</t>
  </si>
  <si>
    <t xml:space="preserve">Yes, open the gripper.</t>
  </si>
  <si>
    <t xml:space="preserve">open_gripper</t>
  </si>
  <si>
    <t xml:space="preserve">Opening the gripper.</t>
  </si>
  <si>
    <t xml:space="preserve">Should I go back home?</t>
  </si>
  <si>
    <t xml:space="preserve">Yes, go back home.</t>
  </si>
  <si>
    <t xml:space="preserve">go_home</t>
  </si>
  <si>
    <t xml:space="preserve">Going home.</t>
  </si>
  <si>
    <t xml:space="preserve">Done — I'm back at the home position. What's next?</t>
  </si>
  <si>
    <t xml:space="preserve">pick vitamin tube</t>
  </si>
  <si>
    <t xml:space="preserve">I see two vitamin tubes. Could you say leftmost or rightmost, or point at the one you want?</t>
  </si>
  <si>
    <t xml:space="preserve">Leftmost vitamin tube.</t>
  </si>
  <si>
    <t xml:space="preserve">pick vitamin tube position=leftmost</t>
  </si>
  <si>
    <t xml:space="preserve">Picking the leftmost Vitamin C.</t>
  </si>
  <si>
    <t xml:space="preserve">Starting grasp on the vitamin tube.</t>
  </si>
  <si>
    <t xml:space="preserve">Got the vitamin tube. Where should I drop it? Left, right, or home?</t>
  </si>
  <si>
    <t xml:space="preserve">Drop it on the left side.</t>
  </si>
  <si>
    <t xml:space="preserve">Going to drop left.</t>
  </si>
  <si>
    <t xml:space="preserve">I'm at the drop left position, still holding the vitamin tube. Should I open the gripper?</t>
  </si>
  <si>
    <t xml:space="preserve">Yes, open the gripper, give me the object.</t>
  </si>
  <si>
    <t xml:space="preserve">I'm at the drop right position, still holding the vitamin tube. Should I open the gripper?</t>
  </si>
  <si>
    <t xml:space="preserve">Yes, opens the gripper.</t>
  </si>
  <si>
    <t xml:space="preserve">Go back home.</t>
  </si>
  <si>
    <t xml:space="preserve">Open the gripper, give me the objects and go back home.</t>
  </si>
  <si>
    <t xml:space="preserve">open_gripper then=release_home</t>
  </si>
  <si>
    <t xml:space="preserve">I can see a tape dispenser on the left, a small bottle in the middle, and a Vitamin B12 on the right.</t>
  </si>
  <si>
    <t xml:space="preserve">I don't see a phone on the table — only a tape dispenser, a small bottle, and a Vitamin B12.</t>
  </si>
  <si>
    <t xml:space="preserve">I can pick any of those if you'd like!</t>
  </si>
  <si>
    <t xml:space="preserve">pick small bottle</t>
  </si>
  <si>
    <t xml:space="preserve">Starting grasp on the small bottle.</t>
  </si>
  <si>
    <t xml:space="preserve">Got the small bottle. Where should I drop it? Left, right, or home?</t>
  </si>
  <si>
    <t xml:space="preserve">Drop it home.</t>
  </si>
  <si>
    <t xml:space="preserve">Go home.</t>
  </si>
  <si>
    <t xml:space="preserve">I'm at the home position, still holding the small bottle. Should I open the gripper?</t>
  </si>
  <si>
    <t xml:space="preserve">Open the gripper.</t>
  </si>
  <si>
    <t xml:space="preserve">I'm at the home position. What's next?</t>
  </si>
  <si>
    <t xml:space="preserve">I'm at the drop left position, still holding the small bottle. Should I open the gripper?</t>
  </si>
  <si>
    <t xml:space="preserve">Yes, open the gripper, go back home.</t>
  </si>
  <si>
    <t xml:space="preserve">release_home</t>
  </si>
  <si>
    <t xml:space="preserve">The right most vitamin tube.</t>
  </si>
  <si>
    <t xml:space="preserve">pick vitamin tube position=rightmost</t>
  </si>
  <si>
    <t xml:space="preserve">Picking the rightmost Vitamin B12.</t>
  </si>
  <si>
    <t xml:space="preserve">I'm at the home position, still holding the vitamin tube. Should I open the gripper?</t>
  </si>
  <si>
    <t xml:space="preserve">Right.</t>
  </si>
  <si>
    <t xml:space="preserve">I'm at the drop right position, still holding the small bottle. Should I open the gripper?</t>
  </si>
  <si>
    <t xml:space="preserve">Yeah.</t>
  </si>
  <si>
    <t xml:space="preserve">Give it to me.</t>
  </si>
  <si>
    <t xml:space="preserve">The bottle is already on the right side—you can grab it from there.</t>
  </si>
  <si>
    <t xml:space="preserve">Let's go back home.</t>
  </si>
  <si>
    <t xml:space="preserve">Home.</t>
  </si>
  <si>
    <t xml:space="preserve">I'm at the home position, still holding the tape dispenser. Should I open the gripper?</t>
  </si>
  <si>
    <t xml:space="preserve">Yes.</t>
  </si>
  <si>
    <t xml:space="preserve">Give me the left one.</t>
  </si>
  <si>
    <t xml:space="preserve">Left or right?</t>
  </si>
  <si>
    <t xml:space="preserve">Left.</t>
  </si>
  <si>
    <t xml:space="preserve">Picking the leftmost Vitamin B12.</t>
  </si>
  <si>
    <t xml:space="preserve">Uh, right.</t>
  </si>
  <si>
    <t xml:space="preserve">Não.</t>
  </si>
  <si>
    <t xml:space="preserve">close_gripper</t>
  </si>
  <si>
    <t xml:space="preserve">Okay, I'll keep holding it. Where should I take it?</t>
  </si>
  <si>
    <t xml:space="preserve">No, sorry, go to the left.</t>
  </si>
  <si>
    <t xml:space="preserve">pies</t>
  </si>
  <si>
    <t xml:space="preserve">I'm not sure what you mean—what would you like me to do?</t>
  </si>
  <si>
    <t xml:space="preserve">Yeah, I was thinking still very hard to make it right with the mold. I think.</t>
  </si>
  <si>
    <t xml:space="preserve">I hear you—what would you like me to do next?</t>
  </si>
  <si>
    <t xml:space="preserve">I see a Vitamin B12, a tape dispenser, a small bottle, and a Vitamin C.</t>
  </si>
  <si>
    <t xml:space="preserve">pick toy faucet</t>
  </si>
  <si>
    <t xml:space="preserve">I can't see the toy faucet right now.</t>
  </si>
  <si>
    <t xml:space="preserve">pick small bottle colour=white</t>
  </si>
  <si>
    <t xml:space="preserve">Drop it home and give me the object directly.</t>
  </si>
  <si>
    <t xml:space="preserve">confirm_drop destination=home then=release</t>
  </si>
  <si>
    <t xml:space="preserve">The right one.</t>
  </si>
  <si>
    <t xml:space="preserve">Picking the rightmost Vitamin C.</t>
  </si>
  <si>
    <t xml:space="preserve">Do you mean this vitamin tube, the rightmost one?</t>
  </si>
  <si>
    <t xml:space="preserve">Yes, say a long one.</t>
  </si>
  <si>
    <t xml:space="preserve">Once upon a time, a small robot named Morty lived in a bustling university lab where curious students tinkered with gears and code.</t>
  </si>
  <si>
    <t xml:space="preserve">No.</t>
  </si>
  <si>
    <t xml:space="preserve">reject_point</t>
  </si>
  <si>
    <t xml:space="preserve">Okay. Point at the one you want, or tell me which one.</t>
  </si>
  <si>
    <t xml:space="preserve">The yellow one.</t>
  </si>
  <si>
    <t xml:space="preserve">pick vitamin tube colour=yellow</t>
  </si>
  <si>
    <t xml:space="preserve">Picking the yellow Vitamin C.</t>
  </si>
  <si>
    <t xml:space="preserve">Yes, give me the objects and go back home.</t>
  </si>
  <si>
    <t xml:space="preserve">You pointed at the tape dispenser. Should I grasp it?</t>
  </si>
  <si>
    <t xml:space="preserve">confirm_point</t>
  </si>
  <si>
    <t xml:space="preserve">Drop it on the right side, give me the object and go back home.</t>
  </si>
  <si>
    <t xml:space="preserve">drop_right_release_home</t>
  </si>
  <si>
    <t xml:space="preserve">look_left</t>
  </si>
  <si>
    <t xml:space="preserve">look_right</t>
  </si>
  <si>
    <t xml:space="preserve">Looking left, then right, then home.</t>
  </si>
  <si>
    <t xml:space="preserve">Looking right.</t>
  </si>
  <si>
    <t xml:space="preserve">After that, I want you to go to the drop right position.</t>
  </si>
  <si>
    <t xml:space="preserve">After that, I want you to go back home.</t>
  </si>
  <si>
    <t xml:space="preserve">I'm doing well, thanks for asking!</t>
  </si>
  <si>
    <t xml:space="preserve">Looking left.</t>
  </si>
  <si>
    <t xml:space="preserve">You pointed at the small bottle. Should I grasp it?</t>
  </si>
  <si>
    <t xml:space="preserve">Give it me on the right side and go back home after that.</t>
  </si>
  <si>
    <t xml:space="preserve">confirm_drop destination=drop_right then=release_home</t>
  </si>
  <si>
    <t xml:space="preserve">and the gripper and go back home.</t>
  </si>
  <si>
    <t xml:space="preserve">I've already sent that command — dropping on the right, opening the gripper, and heading home.</t>
  </si>
  <si>
    <t xml:space="preserve">I see 2 vitamin tubes: a Vitamin B12 on the leftmost side and a Vitamin C on the rightmost side.</t>
  </si>
  <si>
    <t xml:space="preserve">Which object do you mean?</t>
  </si>
  <si>
    <t xml:space="preserve">Grasp the banana and put it on the right side.</t>
  </si>
  <si>
    <t xml:space="preserve">Say its name or point at it.</t>
  </si>
  <si>
    <t xml:space="preserve">Grasp the banana.</t>
  </si>
  <si>
    <t xml:space="preserve">I don't see a banana on the table.</t>
  </si>
  <si>
    <t xml:space="preserve">I can see a Vitamin B12, a tape dispenser, a small bottle, and a Vitamin C.</t>
  </si>
  <si>
    <t xml:space="preserve">pick_and_place tape dispenser destination=drop_right</t>
  </si>
  <si>
    <t xml:space="preserve">I'm at the drop position, still holding the tape dispenser. Should I open the gripper?</t>
  </si>
  <si>
    <t xml:space="preserve">Yes, open the gripper. Give me the object and go back home.</t>
  </si>
  <si>
    <t xml:space="preserve">I see two vitamin tubes — the leftmost one is Vitamin B12 and the rightmost one is Vitamin C.</t>
  </si>
  <si>
    <t xml:space="preserve">Which one would you like?</t>
  </si>
  <si>
    <t xml:space="preserve">Do you mean this vitamin tube, the leftmost one?</t>
  </si>
  <si>
    <t xml:space="preserve">Give me the object and go back home.</t>
  </si>
  <si>
    <t xml:space="preserve">You pointed at the vitamin tube. Should I grasp it?</t>
  </si>
  <si>
    <t xml:space="preserve">Grasp it.</t>
  </si>
  <si>
    <t xml:space="preserve">I changed my mind. Go to the drop right.</t>
  </si>
  <si>
    <t xml:space="preserve">He was the whole time in the video, bro.</t>
  </si>
  <si>
    <t xml:space="preserve">Once upon a time, a curious robot named Morty discovered that the best adventures weren't always the farthest away — sometimes they were right beside him, waiting to be noticed.</t>
  </si>
  <si>
    <t xml:space="preserve">He learned that kindness and patience could unlock doors that strength alone never could, and that helping others was the greatest discovery of all.</t>
  </si>
  <si>
    <t xml:space="preserve">Whatever about your story, go to the left side. Look at the left side.</t>
  </si>
  <si>
    <t xml:space="preserve">Now go back home.</t>
  </si>
  <si>
    <t xml:space="preserve">I see a Vitamin B12, a tape dispenser, a small bottle, and a Vitamin C from left to right.</t>
  </si>
  <si>
    <t xml:space="preserve">I don't see a coffee on the table.</t>
  </si>
  <si>
    <t xml:space="preserve">Mug next to the bottle.</t>
  </si>
  <si>
    <t xml:space="preserve">I don't see a mug on the table.</t>
  </si>
  <si>
    <t xml:space="preserve">This one's at our right sink.</t>
  </si>
  <si>
    <t xml:space="preserve">I see two vitamin tubes on the table — could you say leftmost or rightmost?</t>
  </si>
  <si>
    <t xml:space="preserve">No, no, I mean it have red.</t>
  </si>
  <si>
    <t xml:space="preserve">No, no, I mean it have red. Color.</t>
  </si>
  <si>
    <t xml:space="preserve">pick vitamin tube colour=red</t>
  </si>
  <si>
    <t xml:space="preserve">Picking the red Vitamin B12.</t>
  </si>
  <si>
    <t xml:space="preserve">I changed my mind. Go to the back to the home position.</t>
  </si>
  <si>
    <t xml:space="preserve">No, no, don't open it. Go to the drop right.</t>
  </si>
  <si>
    <t xml:space="preserve">Yes, open the gripper, give me the objects and go back home.</t>
  </si>
  <si>
    <t xml:space="preserve">This one.</t>
  </si>
  <si>
    <t xml:space="preserve">The operator is pointing at vitamin_tube 2 (the Vitamin C on the right).</t>
  </si>
  <si>
    <t xml:space="preserve">That was correct. Now, give me that drop left side.</t>
  </si>
  <si>
    <t xml:space="preserve">confirm_drop destination=drop_left</t>
  </si>
  <si>
    <t xml:space="preserve">You know what, I changed my mind, go back to the home position.</t>
  </si>
  <si>
    <t xml:space="preserve">Now give me the object.</t>
  </si>
  <si>
    <t xml:space="preserve">The robot grasped the Vitamin B12 — the one with the purple cap.</t>
  </si>
  <si>
    <t xml:space="preserve">Is that what you meant?</t>
  </si>
  <si>
    <t xml:space="preserve">Yes, correctly.</t>
  </si>
  <si>
    <t xml:space="preserve">Great! What should I do with it next?</t>
  </si>
  <si>
    <t xml:space="preserve">Now grasp it.</t>
  </si>
  <si>
    <t xml:space="preserve">No, I changed my mind. Go to the drop right.</t>
  </si>
  <si>
    <t xml:space="preserve">Now give me the object and go back home.</t>
  </si>
  <si>
    <t xml:space="preserve">Once there was a curious robot at a university who spent its days moving objects around a table.</t>
  </si>
  <si>
    <t xml:space="preserve">One day it realized: every object it picked taught it something new — the weight, the shape, the fragility.</t>
  </si>
  <si>
    <t xml:space="preserve">By the end of the year, the robot wasn't just grasping things anymore; it understood them.</t>
  </si>
  <si>
    <t xml:space="preserve">You know enough, enough. I am got enough from you. Go back home and then, do the drop left.</t>
  </si>
  <si>
    <t xml:space="preserve">I will look at the left side.</t>
  </si>
  <si>
    <t xml:space="preserve">Go ahead — I'm here if you need me.</t>
  </si>
  <si>
    <t xml:space="preserve">No, I said like look at the left side.</t>
  </si>
  <si>
    <t xml:space="preserve">Nice job.</t>
  </si>
  <si>
    <t xml:space="preserve">Thanks! Anything else you need?</t>
  </si>
  <si>
    <t xml:space="preserve">My mind go to the home position.</t>
  </si>
  <si>
    <t xml:space="preserve">I can see a small bottle on the left, a wooden maze puzzle in the middle, and two Multivitamins on the right side.</t>
  </si>
  <si>
    <t xml:space="preserve">I don't see scissors on the table.</t>
  </si>
  <si>
    <t xml:space="preserve">I can see a small bottle, a wooden maze puzzle, and two Multivitamins.</t>
  </si>
  <si>
    <t xml:space="preserve">pick wooden maze puzzle</t>
  </si>
  <si>
    <t xml:space="preserve">Starting grasp on the wooden maze puzzle.</t>
  </si>
  <si>
    <t xml:space="preserve">Got the wooden maze puzzle. Where should I drop it? Left, right, or home?</t>
  </si>
  <si>
    <t xml:space="preserve">Give it to me on the drop right position.</t>
  </si>
  <si>
    <t xml:space="preserve">on the drop right position</t>
  </si>
  <si>
    <t xml:space="preserve">I'm at the drop right position, still holding the wooden maze puzzle. Should I open the gripper?</t>
  </si>
  <si>
    <t xml:space="preserve">Yes, open the grippers and go back home.</t>
  </si>
  <si>
    <t xml:space="preserve">Which vitamin do you mean—the Vitamin B12 with the purple cap, or the Multivitamin with the blue cap?</t>
  </si>
  <si>
    <t xml:space="preserve">Give me the ones that have a blue cup.</t>
  </si>
  <si>
    <t xml:space="preserve">pick vitamin c colour=blue</t>
  </si>
  <si>
    <t xml:space="preserve">Picking the blue Multivitamin.</t>
  </si>
  <si>
    <t xml:space="preserve">I changed my mind, go back home.</t>
  </si>
  <si>
    <t xml:space="preserve">Yes, give me the object.</t>
  </si>
  <si>
    <t xml:space="preserve">Yes, I left.</t>
  </si>
  <si>
    <t xml:space="preserve">I'm not sure what you mean—did you leave the room, or are you answering a question the robot asked?</t>
  </si>
  <si>
    <t xml:space="preserve">The left one. I didn't leave the room.</t>
  </si>
  <si>
    <t xml:space="preserve">Or you know, I want it on the home.</t>
  </si>
  <si>
    <t xml:space="preserve">Now give me the.</t>
  </si>
  <si>
    <t xml:space="preserve">You're pointing at the small bottle, yes.</t>
  </si>
  <si>
    <t xml:space="preserve">Should I grasp it?</t>
  </si>
  <si>
    <t xml:space="preserve">I don't know where is home, but you can go first to home.</t>
  </si>
  <si>
    <t xml:space="preserve">Now right.</t>
  </si>
  <si>
    <t xml:space="preserve">Should I open the gripper?</t>
  </si>
  <si>
    <t xml:space="preserve">No, don't open the gripper. Where is your right position? Show me where is your right position.</t>
  </si>
  <si>
    <t xml:space="preserve">Here here, you can't open the gripper here.</t>
  </si>
  <si>
    <t xml:space="preserve">Hm. Yeah, you can go back home.</t>
  </si>
  <si>
    <t xml:space="preserve">That's a fun logical question!</t>
  </si>
  <si>
    <t xml:space="preserve">"Looking at the left side" means my camera/arm is oriented toward the left.</t>
  </si>
  <si>
    <t xml:space="preserve">So what does **not** mean I'm looking left?
- **Looking right** — my head is turned the other way
- **Looking up** — I'm gazing upward instead
- **Looking straight ahead** — I'm centered on the table
- **Being at home** — that's a position, not a viewing direction
- **Sleeping/parked** — I'm stowed away
In short: any viewing direction OTHER than left, plus any pose that isn't a viewing pose at all (home, sleep, drop positions).</t>
  </si>
  <si>
    <t xml:space="preserve">to the left side first and let's see where is that</t>
  </si>
  <si>
    <t xml:space="preserve">Now look at the right.</t>
  </si>
  <si>
    <t xml:space="preserve">And up.</t>
  </si>
  <si>
    <t xml:space="preserve">look_up</t>
  </si>
  <si>
    <t xml:space="preserve">Looking up.</t>
  </si>
  <si>
    <t xml:space="preserve">Zehn down.</t>
  </si>
  <si>
    <t xml:space="preserve">I didn't catch that, could you repeat?</t>
  </si>
  <si>
    <t xml:space="preserve">Now down.</t>
  </si>
  <si>
    <t xml:space="preserve">I don't have a "look down" pose available — my viewing directions are left, right, and up.</t>
  </si>
  <si>
    <t xml:space="preserve">Want me to look straight ahead at the table, or go back to one of those?</t>
  </si>
  <si>
    <t xml:space="preserve">Straight ahead of at the table.</t>
  </si>
  <si>
    <t xml:space="preserve">go_to_ready</t>
  </si>
  <si>
    <t xml:space="preserve">Going to ready.</t>
  </si>
  <si>
    <t xml:space="preserve">I can see a small bottle, a wooden maze puzzle, a Vitamin B12, and a Multivitamin tube on the table.</t>
  </si>
  <si>
    <t xml:space="preserve">I don't see a pen on the table.</t>
  </si>
  <si>
    <t xml:space="preserve">I can see a small bottle, a wooden maze puzzle, a Vitamin B12, and a Multivitamin tube.</t>
  </si>
  <si>
    <t xml:space="preserve">Home position.</t>
  </si>
  <si>
    <t xml:space="preserve">The leftmost one.</t>
  </si>
  <si>
    <t xml:space="preserve">I couldn't find a way to reach the vitamin tube from here. Move it a bit closer, or ask for another object.</t>
  </si>
  <si>
    <t xml:space="preserve">Try once again.</t>
  </si>
  <si>
    <t xml:space="preserve">I need to know which vitamin tube you want—the B12 (purple cap) or the Multivitamin (blue cap)?</t>
  </si>
  <si>
    <t xml:space="preserve">Zap.</t>
  </si>
  <si>
    <t xml:space="preserve">Not sure what you mean—do you want the B12 or the Multivitamin?</t>
  </si>
  <si>
    <t xml:space="preserve">Purple cup.</t>
  </si>
  <si>
    <t xml:space="preserve">pick vitamin tube position=leftmost colour=red</t>
  </si>
  <si>
    <t xml:space="preserve">Drop it on the left side. Give me the object, then go back home.</t>
  </si>
  <si>
    <t xml:space="preserve">drop_left_release_home</t>
  </si>
  <si>
    <t xml:space="preserve">I'm looking—what do you want me to see?</t>
  </si>
  <si>
    <t xml:space="preserve">Drop right position.</t>
  </si>
  <si>
    <t xml:space="preserve">Now go.</t>
  </si>
  <si>
    <t xml:space="preserve">Already on the way to drop right.</t>
  </si>
  <si>
    <t xml:space="preserve">look and then home</t>
  </si>
  <si>
    <t xml:space="preserve">Going to look left, then home.</t>
  </si>
  <si>
    <t xml:space="preserve">Okay.</t>
  </si>
  <si>
    <t xml:space="preserve">What's next?</t>
  </si>
  <si>
    <t xml:space="preserve">You're still on the drop right position. I want you.</t>
  </si>
  <si>
    <t xml:space="preserve">I'm still at the drop right position—what would you like me to do?</t>
  </si>
  <si>
    <t xml:space="preserve">To go left.</t>
  </si>
  <si>
    <t xml:space="preserve">Send home.</t>
  </si>
  <si>
    <t xml:space="preserve">Yes, I see a small bottle on the left side of the table.</t>
  </si>
  <si>
    <t xml:space="preserve">I don't see an apple on the table.</t>
  </si>
  <si>
    <t xml:space="preserve">I can see a small bottle, a wooden puzzle, and two Vitamin tubes.</t>
  </si>
  <si>
    <t xml:space="preserve">Open the group, give me the objects and go back home.</t>
  </si>
  <si>
    <t xml:space="preserve">Which object do you mean? Say its name or point at it.</t>
  </si>
  <si>
    <t xml:space="preserve">You pointed at the wooden maze puzzle. Should I grasp it?</t>
  </si>
  <si>
    <t xml:space="preserve">Can you tell me how I can play it as well?</t>
  </si>
  <si>
    <t xml:space="preserve">I'm not sure what you mean—do you want me to open the gripper and release the object, or are you asking about something else?</t>
  </si>
  <si>
    <t xml:space="preserve">I want to know how to play with the wooden maze puzzle.</t>
  </si>
  <si>
    <t xml:space="preserve">The wooden maze puzzle is a classic tilt-maze game—you tilt and rotate it to guide a small ball through the internal pathways without letting it fall into holes, trying to reach the goal.</t>
  </si>
  <si>
    <t xml:space="preserve">It's all about hand-eye coordination and patience!</t>
  </si>
  <si>
    <t xml:space="preserve">We continue later. Open the gripper now.</t>
  </si>
  <si>
    <t xml:space="preserve">Continue the story about the wooden maze puzzle now.</t>
  </si>
  <si>
    <t xml:space="preserve">The wooden maze puzzle has been around for decades—it's a timeless toy that sharpens focus and motor control.</t>
  </si>
  <si>
    <t xml:space="preserve">The ball rolls through twisting channels, and you have to stay calm; rush it and the ball drops into a trap.</t>
  </si>
  <si>
    <t xml:space="preserve">Some puzzles have multiple levels or themed designs.</t>
  </si>
  <si>
    <t xml:space="preserve">Kids love them, adults rediscover them, and they're great for relieving stress—way better than staring at a screen!</t>
  </si>
  <si>
    <t xml:space="preserve">This one on the left side, not on the right side.</t>
  </si>
  <si>
    <t xml:space="preserve">on the left side</t>
  </si>
  <si>
    <t xml:space="preserve">Picking the leftmost Multivitamin.</t>
  </si>
  <si>
    <t xml:space="preserve">Drop it on the right side. Give me the object directly, then go back home.</t>
  </si>
  <si>
    <t xml:space="preserve">drop_right then=release_home</t>
  </si>
  <si>
    <t xml:space="preserve">Yes, I have a bloody sink.</t>
  </si>
  <si>
    <t xml:space="preserve">I'm not sure what you mean—could you rephrase that?</t>
  </si>
  <si>
    <t xml:space="preserve">Blue thing.</t>
  </si>
  <si>
    <t xml:space="preserve">You're pointing at the vitamin tube with the blue cap.</t>
  </si>
  <si>
    <t xml:space="preserve">Yes, exactly.</t>
  </si>
  <si>
    <t xml:space="preserve">Open the gripper, give me the object, then go back home.</t>
  </si>
  <si>
    <t xml:space="preserve">Exactly.</t>
  </si>
  <si>
    <t xml:space="preserve">What would you like me to do next?</t>
  </si>
  <si>
    <t xml:space="preserve">Fine, like.</t>
  </si>
  <si>
    <t xml:space="preserve">Looking left, then moving to the drop right position.</t>
  </si>
  <si>
    <t xml:space="preserve">Which one—the B12 (purple cap) or the Multivitamin (blue cap)?</t>
  </si>
  <si>
    <t xml:space="preserve">Is this one?</t>
  </si>
  <si>
    <t xml:space="preserve">Yes, this one.</t>
  </si>
  <si>
    <t xml:space="preserve">You confirmed it—the grasp is running now.</t>
  </si>
  <si>
    <t xml:space="preserve">Drop it left side.</t>
  </si>
  <si>
    <t xml:space="preserve">Good evening!</t>
  </si>
  <si>
    <t xml:space="preserve">I can see a small bottle on the left, a wooden maze puzzle in the middle, a Vitamin B12 in the middle, and a Multivitamin on the right.</t>
  </si>
  <si>
    <t xml:space="preserve">I don't see your keys on the table.</t>
  </si>
  <si>
    <t xml:space="preserve">I can see a small bottle, a wooden maze puzzle, a Vitamin B12, and a Multivitamin.</t>
  </si>
  <si>
    <t xml:space="preserve">I'm at the home position, still holding the wooden maze puzzle. Should I open the gripper?</t>
  </si>
  <si>
    <t xml:space="preserve">Go to the drop line.</t>
  </si>
  <si>
    <t xml:space="preserve">Which side — left or right?</t>
  </si>
  <si>
    <t xml:space="preserve">Go to the drop right.</t>
  </si>
  <si>
    <t xml:space="preserve">Give me the object, then go back home.</t>
  </si>
  <si>
    <t xml:space="preserve">Picking the rightmost Multivitamin.</t>
  </si>
  <si>
    <t xml:space="preserve">So you are holding the</t>
  </si>
  <si>
    <t xml:space="preserve">I'm holding the vitamin tube — the robot just grasped it.</t>
  </si>
  <si>
    <t xml:space="preserve">in tube that have blue cap.</t>
  </si>
  <si>
    <t xml:space="preserve">That's the Multivitamin with the blue cap — I'm already holding it.</t>
  </si>
  <si>
    <t xml:space="preserve">Where should I drop it?</t>
  </si>
  <si>
    <t xml:space="preserve">Drop it on the left.</t>
  </si>
  <si>
    <t xml:space="preserve">side</t>
  </si>
  <si>
    <t xml:space="preserve">I'm already moving to the left side.</t>
  </si>
  <si>
    <t xml:space="preserve">Yes, grasps what I pointed at it.</t>
  </si>
  <si>
    <t xml:space="preserve">Drop it on the right side. Give me the object, then go back home.</t>
  </si>
  <si>
    <t xml:space="preserve">Opens the gripper.</t>
  </si>
  <si>
    <t xml:space="preserve">Okay — I'll open the gripper once I'm there.</t>
  </si>
  <si>
    <t xml:space="preserve">Look at what?</t>
  </si>
  <si>
    <t xml:space="preserve">right position and then go back home.</t>
  </si>
  <si>
    <t xml:space="preserve">And now you can go to the drop left position.</t>
  </si>
  <si>
    <t xml:space="preserve">After that, look at the left position.</t>
  </si>
  <si>
    <t xml:space="preserve">Now home.</t>
  </si>
  <si>
    <t xml:space="preserve">The small bottle is the leftmost object on the table.</t>
  </si>
  <si>
    <t xml:space="preserve">I can't see the tape dispenser right now.</t>
  </si>
  <si>
    <t xml:space="preserve">Yes, give me the object and go back home.</t>
  </si>
  <si>
    <t xml:space="preserve">Drop it.</t>
  </si>
  <si>
    <t xml:space="preserve">I changed my mind.</t>
  </si>
  <si>
    <t xml:space="preserve">No problem — what would you like me to do instead?</t>
  </si>
  <si>
    <t xml:space="preserve">To the drop right.</t>
  </si>
  <si>
    <t xml:space="preserve">Yes, I'm here — what do you need?</t>
  </si>
  <si>
    <t xml:space="preserve">Grasp for me the vitamin.</t>
  </si>
  <si>
    <t xml:space="preserve">I see two vitamin tubes — the Vitamin B12 (red cap) and the Multivitamin (blue cap).</t>
  </si>
  <si>
    <t xml:space="preserve">Which one?</t>
  </si>
  <si>
    <t xml:space="preserve">This.</t>
  </si>
  <si>
    <t xml:space="preserve">Home, home.</t>
  </si>
  <si>
    <t xml:space="preserve">I'm now home.</t>
  </si>
  <si>
    <t xml:space="preserve">Good to know — where should I drop the vitamin tube?</t>
  </si>
  <si>
    <t xml:space="preserve">Now go home, give me the object.</t>
  </si>
  <si>
    <t xml:space="preserve">Then left side.</t>
  </si>
  <si>
    <t xml:space="preserve">No, go to the drop left side.</t>
  </si>
  <si>
    <t xml:space="preserve">I'm at the drop left position, still holding the wooden maze puzzle. Should I open the gripper?</t>
  </si>
  <si>
    <t xml:space="preserve">No, go to the drop right, give me the objects and go back home.</t>
  </si>
  <si>
    <t xml:space="preserve">Which vitamin tube do you mean?</t>
  </si>
  <si>
    <t xml:space="preserve">Say leftmost, rightmost, or the color — Vitamin C (yellow cap), Vitamin B12 (purple cap), or Multivitamin (blue cap).</t>
  </si>
  <si>
    <t xml:space="preserve">Give me the object.</t>
  </si>
  <si>
    <t xml:space="preserve">I'm already at the home position.</t>
  </si>
  <si>
    <t xml:space="preserve">Did you want me to look right from here, or move somewhere else first?</t>
  </si>
  <si>
    <t xml:space="preserve">I want you to look at the right position.</t>
  </si>
  <si>
    <t xml:space="preserve">After that, go to the left position.</t>
  </si>
  <si>
    <t xml:space="preserve">Now go to the drop position.</t>
  </si>
  <si>
    <t xml:space="preserve">The right side.</t>
  </si>
  <si>
    <t xml:space="preserve">Now open the gripper.</t>
  </si>
  <si>
    <t xml:space="preserve">The gripper is open.</t>
  </si>
  <si>
    <t xml:space="preserve">Now go home.</t>
  </si>
  <si>
    <t xml:space="preserve">Close the gripper.</t>
  </si>
  <si>
    <t xml:space="preserve">The gripper is closed.</t>
  </si>
  <si>
    <t xml:space="preserve">I can see a small bottle, a Vitamin C, a Vitamin B12, and a Multivitamin.</t>
  </si>
  <si>
    <t xml:space="preserve">I don't see a remote control on the table.</t>
  </si>
  <si>
    <t xml:space="preserve">stay</t>
  </si>
  <si>
    <t xml:space="preserve">Okay, I'll stay here.</t>
  </si>
  <si>
    <t xml:space="preserve">Go to the drop right position.</t>
  </si>
  <si>
    <t xml:space="preserve">I thought you are on drop right.</t>
  </si>
  <si>
    <t xml:space="preserve">You're right — the arm is already at the drop right position.</t>
  </si>
  <si>
    <t xml:space="preserve">I sent the move anyway since you asked, but nothing changed.</t>
  </si>
  <si>
    <t xml:space="preserve">So then go to the back home now.</t>
  </si>
  <si>
    <t xml:space="preserve">I can see a small bottle, a Vitamin B12, a Multivitamin, and a Vitamin C.</t>
  </si>
  <si>
    <t xml:space="preserve">I don't see headphones on the table.</t>
  </si>
  <si>
    <t xml:space="preserve">I see three vitamin tubes. Could you say leftmost, middle or rightmost, or point at the one you want?</t>
  </si>
  <si>
    <t xml:space="preserve">This one in the middle.</t>
  </si>
  <si>
    <t xml:space="preserve">Which one in the middle — the Vitamin B12 or the Multivitamin?</t>
  </si>
  <si>
    <t xml:space="preserve">I don't know.</t>
  </si>
  <si>
    <t xml:space="preserve">Point at the one you want, or say "leftmost", "middle" or "rightmost" of the three.</t>
  </si>
  <si>
    <t xml:space="preserve">The middle one.</t>
  </si>
  <si>
    <t xml:space="preserve">I don't know. I want the middle vitamin too.</t>
  </si>
  <si>
    <t xml:space="preserve">Point at the one you want, or say the Vitamin B12 or the Multivitamin.</t>
  </si>
  <si>
    <t xml:space="preserve">I want.</t>
  </si>
  <si>
    <t xml:space="preserve">Which vitamin do you want — the B12 or the Multivitamin?</t>
  </si>
  <si>
    <t xml:space="preserve">I need you to pick one: the Vitamin B12 or the Multivitamin?</t>
  </si>
  <si>
    <t xml:space="preserve">A middle vitamin tube.</t>
  </si>
  <si>
    <t xml:space="preserve">I want the one that in the middle.</t>
  </si>
  <si>
    <t xml:space="preserve">The two middle tubes are the Vitamin B12 and the Multivitamin — which one do you want?</t>
  </si>
  <si>
    <t xml:space="preserve">So if you say to me, what kind of object you see from left to right.</t>
  </si>
  <si>
    <t xml:space="preserve">From left to right: a small bottle, then the Vitamin B12, the Multivitamin, and the Vitamin C.</t>
  </si>
  <si>
    <t xml:space="preserve">Now grasp for me the middle one.</t>
  </si>
  <si>
    <t xml:space="preserve">You said the multivitamin should be in the middle.</t>
  </si>
  <si>
    <t xml:space="preserve">pick vitamin tube colour=blue</t>
  </si>
  <si>
    <t xml:space="preserve">Drop it on the right side. Give me the object. Then go back home.</t>
  </si>
  <si>
    <t xml:space="preserve">Morty, grasp. For me is</t>
  </si>
  <si>
    <t xml:space="preserve">Morty, grasp. For me is Vitamin two.</t>
  </si>
  <si>
    <t xml:space="preserve">Picking the number 2 from the left Multivitamin.</t>
  </si>
  <si>
    <t xml:space="preserve">Drop it on the right side, give me the objects and go back home.</t>
  </si>
  <si>
    <t xml:space="preserve">I'm not sure what you mean — could you say that again?</t>
  </si>
  <si>
    <t xml:space="preserve">grasp for me is a vitamin tube.</t>
  </si>
  <si>
    <t xml:space="preserve">I will point at the one I want.</t>
  </si>
  <si>
    <t xml:space="preserve">Got it — point at the vitamin tube you want and I'll grasp it.</t>
  </si>
  <si>
    <t xml:space="preserve">Open the gripper, give me the object.</t>
  </si>
  <si>
    <t xml:space="preserve">Now go to the drop right position.</t>
  </si>
  <si>
    <t xml:space="preserve">Now look once again on the right.</t>
  </si>
  <si>
    <t xml:space="preserve">left side</t>
  </si>
  <si>
    <t xml:space="preserve">Oh, I changed my mind. Go back to the home position.</t>
  </si>
  <si>
    <t xml:space="preserve">Which side should I drop the small bottle on — left, right, or home?</t>
  </si>
  <si>
    <t xml:space="preserve">Home, home now.</t>
  </si>
  <si>
    <t xml:space="preserve">Tell me a small story and bring me the stabla</t>
  </si>
  <si>
    <t xml:space="preserve">I'm not sure what "stabla" is — did you mean one of the objects I can see: the small bottle, Vitamin B12, Multivitamin, or Vitamin C?</t>
  </si>
  <si>
    <t xml:space="preserve">Where is my story?</t>
  </si>
  <si>
    <t xml:space="preserve">You're right — sorry about that!</t>
  </si>
  <si>
    <t xml:space="preserve">Once upon a time, a curious robot at a university table discovered four mysterious objects.</t>
  </si>
  <si>
    <t xml:space="preserve">It picked them up one by one, moved them left and right, and learned that the simplest task — moving things where they belong — was its favorite kind of magic.</t>
  </si>
  <si>
    <t xml:space="preserve">Where is my stable?</t>
  </si>
  <si>
    <t xml:space="preserve">I'm still not sure what "stable" means — do you mean the small bottle, one of the vitamin tubes, or something else on the table?</t>
  </si>
  <si>
    <t xml:space="preserve">So you don't see the stable.</t>
  </si>
  <si>
    <t xml:space="preserve">That's right, I don't see a stable on the table.</t>
  </si>
  <si>
    <t xml:space="preserve">I can see a small bottle, Vitamin B12, Multivitamin, and Vitamin C.</t>
  </si>
  <si>
    <t xml:space="preserve">Trop them on the right side.</t>
  </si>
  <si>
    <t xml:space="preserve">Okay, what what's lo what's loyal to Hammond?</t>
  </si>
  <si>
    <t xml:space="preserve">#</t>
  </si>
  <si>
    <t xml:space="preserve">Starts at t (s)</t>
  </si>
  <si>
    <t xml:space="preserve">Instruction</t>
  </si>
  <si>
    <t xml:space="preserve">Said / from</t>
  </si>
  <si>
    <t xml:space="preserve">Action</t>
  </si>
  <si>
    <t xml:space="preserve">Steps</t>
  </si>
  <si>
    <t xml:space="preserve">Superseded</t>
  </si>
  <si>
    <t xml:space="preserve">pick</t>
  </si>
  <si>
    <t xml:space="preserve">41–204</t>
  </si>
  <si>
    <t xml:space="preserve">205–345</t>
  </si>
  <si>
    <t xml:space="preserve">open the gripper</t>
  </si>
  <si>
    <t xml:space="preserve">346–435</t>
  </si>
  <si>
    <t xml:space="preserve">go back home</t>
  </si>
  <si>
    <t xml:space="preserve">436–496</t>
  </si>
  <si>
    <t xml:space="preserve">211–345</t>
  </si>
  <si>
    <t xml:space="preserve">drop it on the left side</t>
  </si>
  <si>
    <t xml:space="preserve">346–467</t>
  </si>
  <si>
    <t xml:space="preserve">468–563</t>
  </si>
  <si>
    <t xml:space="preserve">564–611</t>
  </si>
  <si>
    <t xml:space="preserve">36–257</t>
  </si>
  <si>
    <t xml:space="preserve">258–395</t>
  </si>
  <si>
    <t xml:space="preserve">396–475</t>
  </si>
  <si>
    <t xml:space="preserve">476–536</t>
  </si>
  <si>
    <t xml:space="preserve">(pointing)</t>
  </si>
  <si>
    <t xml:space="preserve">0–276</t>
  </si>
  <si>
    <t xml:space="preserve">277–438</t>
  </si>
  <si>
    <t xml:space="preserve">439–525</t>
  </si>
  <si>
    <t xml:space="preserve">78–320</t>
  </si>
  <si>
    <t xml:space="preserve">321–335</t>
  </si>
  <si>
    <t xml:space="preserve">336–477</t>
  </si>
  <si>
    <t xml:space="preserve">478–523</t>
  </si>
  <si>
    <t xml:space="preserve">78–223</t>
  </si>
  <si>
    <t xml:space="preserve">224–344</t>
  </si>
  <si>
    <t xml:space="preserve">345–416</t>
  </si>
  <si>
    <t xml:space="preserve">417–465</t>
  </si>
  <si>
    <t xml:space="preserve">71–285</t>
  </si>
  <si>
    <t xml:space="preserve">286–422</t>
  </si>
  <si>
    <t xml:space="preserve">open the gripper and go back home</t>
  </si>
  <si>
    <t xml:space="preserve">423–507</t>
  </si>
  <si>
    <t xml:space="preserve">152–272</t>
  </si>
  <si>
    <t xml:space="preserve">273–416</t>
  </si>
  <si>
    <t xml:space="preserve">417–460</t>
  </si>
  <si>
    <t xml:space="preserve">78–201</t>
  </si>
  <si>
    <t xml:space="preserve">202–308</t>
  </si>
  <si>
    <t xml:space="preserve">309–444</t>
  </si>
  <si>
    <t xml:space="preserve">445–504</t>
  </si>
  <si>
    <t xml:space="preserve">142–294</t>
  </si>
  <si>
    <t xml:space="preserve">295–425</t>
  </si>
  <si>
    <t xml:space="preserve">426–470</t>
  </si>
  <si>
    <t xml:space="preserve">290–427</t>
  </si>
  <si>
    <t xml:space="preserve">428–542</t>
  </si>
  <si>
    <t xml:space="preserve">close the gripper</t>
  </si>
  <si>
    <t xml:space="preserve">543–569</t>
  </si>
  <si>
    <t xml:space="preserve">570–708</t>
  </si>
  <si>
    <t xml:space="preserve">709–887</t>
  </si>
  <si>
    <t xml:space="preserve">888–938</t>
  </si>
  <si>
    <t xml:space="preserve">99–289</t>
  </si>
  <si>
    <t xml:space="preserve">290–454</t>
  </si>
  <si>
    <t xml:space="preserve">455–558</t>
  </si>
  <si>
    <t xml:space="preserve">100–101</t>
  </si>
  <si>
    <t xml:space="preserve">102–382</t>
  </si>
  <si>
    <t xml:space="preserve">143–408</t>
  </si>
  <si>
    <t xml:space="preserve">drop it on the right side, hand it over and go back home</t>
  </si>
  <si>
    <t xml:space="preserve">confirm_drop</t>
  </si>
  <si>
    <t xml:space="preserve">409–564</t>
  </si>
  <si>
    <t xml:space="preserve">pick_and_place</t>
  </si>
  <si>
    <t xml:space="preserve">101–322</t>
  </si>
  <si>
    <t xml:space="preserve">323–409</t>
  </si>
  <si>
    <t xml:space="preserve">196–370</t>
  </si>
  <si>
    <t xml:space="preserve">371–499</t>
  </si>
  <si>
    <t xml:space="preserve">500–579</t>
  </si>
  <si>
    <t xml:space="preserve">580–637</t>
  </si>
  <si>
    <t xml:space="preserve">44–414</t>
  </si>
  <si>
    <t xml:space="preserve">415–550</t>
  </si>
  <si>
    <t xml:space="preserve">551–639</t>
  </si>
  <si>
    <t xml:space="preserve">0–187</t>
  </si>
  <si>
    <t xml:space="preserve">188–495</t>
  </si>
  <si>
    <t xml:space="preserve">496–603</t>
  </si>
  <si>
    <t xml:space="preserve">604–742</t>
  </si>
  <si>
    <t xml:space="preserve">743–815</t>
  </si>
  <si>
    <t xml:space="preserve">816–874</t>
  </si>
  <si>
    <t xml:space="preserve">82–324</t>
  </si>
  <si>
    <t xml:space="preserve">325–426</t>
  </si>
  <si>
    <t xml:space="preserve">427–518</t>
  </si>
  <si>
    <t xml:space="preserve">289–456</t>
  </si>
  <si>
    <t xml:space="preserve">457–556</t>
  </si>
  <si>
    <t xml:space="preserve">557–693</t>
  </si>
  <si>
    <t xml:space="preserve">694–855</t>
  </si>
  <si>
    <t xml:space="preserve">856–942</t>
  </si>
  <si>
    <t xml:space="preserve">50–314</t>
  </si>
  <si>
    <t xml:space="preserve">315–402</t>
  </si>
  <si>
    <t xml:space="preserve">403–454</t>
  </si>
  <si>
    <t xml:space="preserve">455–501</t>
  </si>
  <si>
    <t xml:space="preserve">33–446</t>
  </si>
  <si>
    <t xml:space="preserve">447–512</t>
  </si>
  <si>
    <t xml:space="preserve">513–608</t>
  </si>
  <si>
    <t xml:space="preserve">609–697</t>
  </si>
  <si>
    <t xml:space="preserve">82–337</t>
  </si>
  <si>
    <t xml:space="preserve">338–338</t>
  </si>
  <si>
    <t xml:space="preserve">339–565</t>
  </si>
  <si>
    <t xml:space="preserve">566–674</t>
  </si>
  <si>
    <t xml:space="preserve">137–282</t>
  </si>
  <si>
    <t xml:space="preserve">283–368</t>
  </si>
  <si>
    <t xml:space="preserve">369–505</t>
  </si>
  <si>
    <t xml:space="preserve">506–552</t>
  </si>
  <si>
    <t xml:space="preserve">41–311</t>
  </si>
  <si>
    <t xml:space="preserve">312–469</t>
  </si>
  <si>
    <t xml:space="preserve">470–555</t>
  </si>
  <si>
    <t xml:space="preserve">186–328</t>
  </si>
  <si>
    <t xml:space="preserve">329–452</t>
  </si>
  <si>
    <t xml:space="preserve">453–571</t>
  </si>
  <si>
    <t xml:space="preserve">572–617</t>
  </si>
  <si>
    <t xml:space="preserve">403–537</t>
  </si>
  <si>
    <t xml:space="preserve">538–596</t>
  </si>
  <si>
    <t xml:space="preserve">597–657</t>
  </si>
  <si>
    <t xml:space="preserve">658–703</t>
  </si>
  <si>
    <t xml:space="preserve">2–419</t>
  </si>
  <si>
    <t xml:space="preserve">420–630</t>
  </si>
  <si>
    <t xml:space="preserve">631–631</t>
  </si>
  <si>
    <t xml:space="preserve">632–728</t>
  </si>
  <si>
    <t xml:space="preserve">729–830</t>
  </si>
  <si>
    <t xml:space="preserve">831–890</t>
  </si>
  <si>
    <t xml:space="preserve">430–470</t>
  </si>
  <si>
    <t xml:space="preserve">530–570</t>
  </si>
  <si>
    <t xml:space="preserve">look up</t>
  </si>
  <si>
    <t xml:space="preserve">615–654</t>
  </si>
  <si>
    <t xml:space="preserve">go to the ready position</t>
  </si>
  <si>
    <t xml:space="preserve">875–915</t>
  </si>
  <si>
    <t xml:space="preserve">82–193</t>
  </si>
  <si>
    <t xml:space="preserve">194–315</t>
  </si>
  <si>
    <t xml:space="preserve">316–355</t>
  </si>
  <si>
    <t xml:space="preserve">82–728</t>
  </si>
  <si>
    <t xml:space="preserve">729–876</t>
  </si>
  <si>
    <t xml:space="preserve">877–915</t>
  </si>
  <si>
    <t xml:space="preserve">77–281</t>
  </si>
  <si>
    <t xml:space="preserve">drop it on the left side, hand it over and go back home</t>
  </si>
  <si>
    <t xml:space="preserve">282–412</t>
  </si>
  <si>
    <t xml:space="preserve">96–153</t>
  </si>
  <si>
    <t xml:space="preserve">397–466</t>
  </si>
  <si>
    <t xml:space="preserve">496–536</t>
  </si>
  <si>
    <t xml:space="preserve">55–193</t>
  </si>
  <si>
    <t xml:space="preserve">194–341</t>
  </si>
  <si>
    <t xml:space="preserve">342–411</t>
  </si>
  <si>
    <t xml:space="preserve">160–357</t>
  </si>
  <si>
    <t xml:space="preserve">358–693</t>
  </si>
  <si>
    <t xml:space="preserve">694–801</t>
  </si>
  <si>
    <t xml:space="preserve">802–856</t>
  </si>
  <si>
    <t xml:space="preserve">45–415</t>
  </si>
  <si>
    <t xml:space="preserve">drop it on the right side and hand it over and go back home</t>
  </si>
  <si>
    <t xml:space="preserve">416–588</t>
  </si>
  <si>
    <t xml:space="preserve">75–623</t>
  </si>
  <si>
    <t xml:space="preserve">624–789</t>
  </si>
  <si>
    <t xml:space="preserve">790–870</t>
  </si>
  <si>
    <t xml:space="preserve">63–261</t>
  </si>
  <si>
    <t xml:space="preserve">262–356</t>
  </si>
  <si>
    <t xml:space="preserve">357–477</t>
  </si>
  <si>
    <t xml:space="preserve">478–534</t>
  </si>
  <si>
    <t xml:space="preserve">70–110</t>
  </si>
  <si>
    <t xml:space="preserve">116–219</t>
  </si>
  <si>
    <t xml:space="preserve">263–319</t>
  </si>
  <si>
    <t xml:space="preserve">150–361</t>
  </si>
  <si>
    <t xml:space="preserve">362–475</t>
  </si>
  <si>
    <t xml:space="preserve">476–549</t>
  </si>
  <si>
    <t xml:space="preserve">550–592</t>
  </si>
  <si>
    <t xml:space="preserve">86–194</t>
  </si>
  <si>
    <t xml:space="preserve">195–424</t>
  </si>
  <si>
    <t xml:space="preserve">425–590</t>
  </si>
  <si>
    <t xml:space="preserve">591–670</t>
  </si>
  <si>
    <t xml:space="preserve">103–370</t>
  </si>
  <si>
    <t xml:space="preserve">371–478</t>
  </si>
  <si>
    <t xml:space="preserve">479–560</t>
  </si>
  <si>
    <t xml:space="preserve">561–604</t>
  </si>
  <si>
    <t xml:space="preserve">101–342</t>
  </si>
  <si>
    <t xml:space="preserve">343–475</t>
  </si>
  <si>
    <t xml:space="preserve">79–313</t>
  </si>
  <si>
    <t xml:space="preserve">314–387</t>
  </si>
  <si>
    <t xml:space="preserve">388–462</t>
  </si>
  <si>
    <t xml:space="preserve">463–515</t>
  </si>
  <si>
    <t xml:space="preserve">123–162</t>
  </si>
  <si>
    <t xml:space="preserve">167–206</t>
  </si>
  <si>
    <t xml:space="preserve">go to the left side</t>
  </si>
  <si>
    <t xml:space="preserve">310–350</t>
  </si>
  <si>
    <t xml:space="preserve">397–437</t>
  </si>
  <si>
    <t xml:space="preserve">460–500</t>
  </si>
  <si>
    <t xml:space="preserve">58–173</t>
  </si>
  <si>
    <t xml:space="preserve">174–329</t>
  </si>
  <si>
    <t xml:space="preserve">330–397</t>
  </si>
  <si>
    <t xml:space="preserve">58–200</t>
  </si>
  <si>
    <t xml:space="preserve">201–353</t>
  </si>
  <si>
    <t xml:space="preserve">354–545</t>
  </si>
  <si>
    <t xml:space="preserve">546–625</t>
  </si>
  <si>
    <t xml:space="preserve">180–318</t>
  </si>
  <si>
    <t xml:space="preserve">319–518</t>
  </si>
  <si>
    <t xml:space="preserve">519–597</t>
  </si>
  <si>
    <t xml:space="preserve">73–308</t>
  </si>
  <si>
    <t xml:space="preserve">309–489</t>
  </si>
  <si>
    <t xml:space="preserve">490–644</t>
  </si>
  <si>
    <t xml:space="preserve">drop it on the right side and hand it over</t>
  </si>
  <si>
    <t xml:space="preserve">645–790</t>
  </si>
  <si>
    <t xml:space="preserve">791–843</t>
  </si>
  <si>
    <t xml:space="preserve">162–356</t>
  </si>
  <si>
    <t xml:space="preserve">357–434</t>
  </si>
  <si>
    <t xml:space="preserve">435–474</t>
  </si>
  <si>
    <t xml:space="preserve">190–230</t>
  </si>
  <si>
    <t xml:space="preserve">279–319</t>
  </si>
  <si>
    <t xml:space="preserve">go to the right side</t>
  </si>
  <si>
    <t xml:space="preserve">406–512</t>
  </si>
  <si>
    <t xml:space="preserve">572–577</t>
  </si>
  <si>
    <t xml:space="preserve">621–678</t>
  </si>
  <si>
    <t xml:space="preserve">679–691</t>
  </si>
  <si>
    <t xml:space="preserve">55–188</t>
  </si>
  <si>
    <t xml:space="preserve">189–323</t>
  </si>
  <si>
    <t xml:space="preserve">324–396</t>
  </si>
  <si>
    <t xml:space="preserve">612–668</t>
  </si>
  <si>
    <t xml:space="preserve">52–1269</t>
  </si>
  <si>
    <t xml:space="preserve">1270–1429</t>
  </si>
  <si>
    <t xml:space="preserve">Vitamin two.</t>
  </si>
  <si>
    <t xml:space="preserve">125–288</t>
  </si>
  <si>
    <t xml:space="preserve">289–417</t>
  </si>
  <si>
    <t xml:space="preserve">148–508</t>
  </si>
  <si>
    <t xml:space="preserve">509–703</t>
  </si>
  <si>
    <t xml:space="preserve">704–819</t>
  </si>
  <si>
    <t xml:space="preserve">820–864</t>
  </si>
  <si>
    <t xml:space="preserve">60–264</t>
  </si>
  <si>
    <t xml:space="preserve">265–407</t>
  </si>
  <si>
    <t xml:space="preserve">408–479</t>
  </si>
  <si>
    <t xml:space="preserve">480–523</t>
  </si>
  <si>
    <t xml:space="preserve">84–123</t>
  </si>
  <si>
    <t xml:space="preserve">189–290</t>
  </si>
  <si>
    <t xml:space="preserve">307–363</t>
  </si>
  <si>
    <t xml:space="preserve">440–480</t>
  </si>
  <si>
    <t xml:space="preserve">68–182</t>
  </si>
  <si>
    <t xml:space="preserve">183–401</t>
  </si>
  <si>
    <t xml:space="preserve">402–502</t>
  </si>
  <si>
    <t xml:space="preserve">503–542</t>
  </si>
  <si>
    <t xml:space="preserve">73–226</t>
  </si>
  <si>
    <t xml:space="preserve">227–358</t>
  </si>
  <si>
    <t xml:space="preserve">359–465</t>
  </si>
  <si>
    <t xml:space="preserve">466–521</t>
  </si>
  <si>
    <t xml:space="preserve">MMHRI experiments — summary per scenario</t>
  </si>
  <si>
    <t xml:space="preserve">Formulas over the Experiments sheet (9 trials). Success rate = Full Task Success yes / (yes + no); averages ignore empty cells.</t>
  </si>
  <si>
    <t xml:space="preserve">Trials</t>
  </si>
  <si>
    <t xml:space="preserve">Full task success: yes</t>
  </si>
  <si>
    <t xml:space="preserve">Full task success: no</t>
  </si>
  <si>
    <t xml:space="preserve">Success rate</t>
  </si>
  <si>
    <t xml:space="preserve">Grasp success: yes</t>
  </si>
  <si>
    <t xml:space="preserve">Avg Interaction Time (s)</t>
  </si>
  <si>
    <t xml:space="preserve">Avg total time (s)</t>
  </si>
  <si>
    <t xml:space="preserve">Avg robot time (s)</t>
  </si>
  <si>
    <t xml:space="preserve">Avg waiting for your answers (s)</t>
  </si>
  <si>
    <t xml:space="preserve">Available objects — no physical action</t>
  </si>
  <si>
    <t xml:space="preserve">Object NOT in scene ('give me the book')</t>
  </si>
  <si>
    <t xml:space="preserve">One of a kind among others — ask for it</t>
  </si>
  <si>
    <t xml:space="preserve">Two same kind — clarify by words (left/right/colour)</t>
  </si>
  <si>
    <t xml:space="preserve">Two same kind — clarify by pointing</t>
  </si>
  <si>
    <t xml:space="preserve">Pointing only (with confirmation)</t>
  </si>
  <si>
    <t xml:space="preserve">Moving without grasping</t>
  </si>
  <si>
    <t xml:space="preserve">All</t>
  </si>
  <si>
    <t xml:space="preserve">Trials per scenario and layout</t>
  </si>
  <si>
    <t xml:space="preserve">Column / item</t>
  </si>
  <si>
    <t xml:space="preserve">Meaning</t>
  </si>
  <si>
    <t xml:space="preserve">Where the data comes from</t>
  </si>
  <si>
    <t xml:space="preserve">Every sheet is rebuilt from the trial folders (trial.json, timeline.json, meta.json) each time the window sends. Edit a trial in the MMHRI window (or its trial.json), not in these sheets — your edits here would be replaced. Sheets you add yourself are kept.</t>
  </si>
  <si>
    <t xml:space="preserve">The experiment doc's definition: from the moment the command was GIVEN (you stopped saying it; for a pick started by pointing, the moment the object was chosen) until the arm STARTS MOVING. Includes speech recognition, understanding, any clarification ('which one?'), choosing the object and planning.</t>
  </si>
  <si>
    <t xml:space="preserve">From the first command (or the pointing choice) to the end of the robot's cycle (back home).</t>
  </si>
  <si>
    <t xml:space="preserve">voice = the task began with a spoken command; pointing/click = the object was chosen by pointing or a click before anything was said.</t>
  </si>
  <si>
    <t xml:space="preserve">The end-of-speech wait (0.5-0.8 s, to be sure you finished) plus speech recognition.</t>
  </si>
  <si>
    <t xml:space="preserve">The end of the operator's voice → the robot command for that sentence.</t>
  </si>
  <si>
    <t xml:space="preserve">The accepted transcript that caused the command → the command.</t>
  </si>
  <si>
    <t xml:space="preserve">instant rule = the fixed phrase layer (about 0.01 s); language model = Claude (about 1 s).</t>
  </si>
  <si>
    <t xml:space="preserve">The first command → the pipeline committing the object. Includes a clarification dialogue ('which one?') or the pointing, and handing the object's name to the pipeline.</t>
  </si>
  <si>
    <t xml:space="preserve">The committed choice → grasp candidates published (capture, segmentation, the stored-grasp lookup, or GraspGen when nothing was stored).</t>
  </si>
  <si>
    <t xml:space="preserve">yes = GraspGen had already computed this object's grasps before the command (precompute); no = it ran after the command, and the operator waited for it.</t>
  </si>
  <si>
    <t xml:space="preserve">Duration of the GraspGen run whose grasps the robot executed.</t>
  </si>
  <si>
    <t xml:space="preserve">How much of that run the operator actually waited for (0 = ready before).</t>
  </si>
  <si>
    <t xml:space="preserve">How long before the choice the grasps were ready.</t>
  </si>
  <si>
    <t xml:space="preserve">How the approach was planned: curve = the smooth approach path (bend + straight slide); lines = blended straight-line segments, the fallback.</t>
  </si>
  <si>
    <t xml:space="preserve">yes = the executor had already verified this grasp could be reached (precheck hit), so it moved at once; no = it checked after the candidates arrived (precheck miss) and the operator waited for it.</t>
  </si>
  <si>
    <t xml:space="preserve">Time to verify the plan: the background probe (when checked in the background) or the probe after the candidates arrived.</t>
  </si>
  <si>
    <t xml:space="preserve">What the operator actually waited in the executor, from the candidates to moving.</t>
  </si>
  <si>
    <t xml:space="preserve">Which of the GraspGen candidates was executed ('1 of 26' = the best-ranked one).</t>
  </si>
  <si>
    <t xml:space="preserve">How many candidates the executor probed before executing one.</t>
  </si>
  <si>
    <t xml:space="preserve">The command given → the gripper opened at the destination.</t>
  </si>
  <si>
    <t xml:space="preserve">Time Morty waited for the operator: at 'Where should I drop it?', 'Should I open the gripper?' and 'Should I go back home?'.</t>
  </si>
  <si>
    <t xml:space="preserve">Total time minus the time Morty waited for the operator.</t>
  </si>
  <si>
    <t xml:space="preserve">final = rebuilt from exact event times after the trial (the messages' own stamps, else the earliest recorder); preliminary = the window's own times at ⏹ (can be late under load).</t>
  </si>
  <si>
    <t xml:space="preserve">Summary: success rate</t>
  </si>
  <si>
    <t xml:space="preserve">Full Task Success = yes divided by (yes + no); trials without a verdict are not counted.</t>
  </si>
  <si>
    <t xml:space="preserve">trial folder</t>
  </si>
  <si>
    <t xml:space="preserve">/home/deep/morty_ws/experiments/experiments_28_09_2026/trial_086_LA_S1</t>
  </si>
  <si>
    <t xml:space="preserve">/home/deep/morty_ws/experiments/experiments_28_09_2026/trial_087_LA_S2</t>
  </si>
  <si>
    <t xml:space="preserve">/home/deep/morty_ws/experiments/experiments_28_09_2026/trial_088_LA_S3</t>
  </si>
  <si>
    <t xml:space="preserve">/home/deep/morty_ws/experiments/experiments_28_09_2026/trial_089_LA_S4</t>
  </si>
  <si>
    <t xml:space="preserve">/home/deep/morty_ws/experiments/experiments_28_09_2026/trial_090_LA_S5</t>
  </si>
  <si>
    <t xml:space="preserve">/home/deep/morty_ws/experiments/experiments_28_09_2026/trial_091_LA_S6</t>
  </si>
  <si>
    <t xml:space="preserve">/home/deep/morty_ws/experiments/experiments_28_09_2026/trial_092_LA_S1</t>
  </si>
  <si>
    <t xml:space="preserve">/home/deep/morty_ws/experiments/experiments_28_09_2026/trial_093_LA_S2</t>
  </si>
  <si>
    <t xml:space="preserve">/home/deep/morty_ws/experiments/experiments_28_09_2026/trial_094_LA_S3</t>
  </si>
  <si>
    <t xml:space="preserve">/home/deep/morty_ws/experiments/experiments_28_09_2026/trial_095_LA_S3</t>
  </si>
  <si>
    <t xml:space="preserve">/home/deep/morty_ws/experiments/experiments_28_09_2026/trial_097_LA_S5</t>
  </si>
  <si>
    <t xml:space="preserve">/home/deep/morty_ws/experiments/experiments_28_09_2026/trial_096_LA_S4</t>
  </si>
  <si>
    <t xml:space="preserve">/home/deep/morty_ws/experiments/experiments_28_09_2026/trial_099_LA_S3</t>
  </si>
  <si>
    <t xml:space="preserve">/home/deep/morty_ws/experiments/experiments_28_09_2026/trial_100_LA_S3</t>
  </si>
  <si>
    <t xml:space="preserve">/home/deep/morty_ws/experiments/experiments_28_09_2026/trial_101_LA_S4</t>
  </si>
  <si>
    <t xml:space="preserve">/home/deep/morty_ws/experiments/experiments_28_09_2026/trial_105_LA_S1</t>
  </si>
  <si>
    <t xml:space="preserve">/home/deep/morty_ws/experiments/experiments_28_09_2026/trial_107_LA_S2</t>
  </si>
  <si>
    <t xml:space="preserve">/home/deep/morty_ws/experiments/experiments_28_09_2026/trial_108_LA_S3</t>
  </si>
  <si>
    <t xml:space="preserve">/home/deep/morty_ws/experiments/experiments_28_09_2026/trial_109_LA_S4</t>
  </si>
  <si>
    <t xml:space="preserve">/home/deep/morty_ws/experiments/experiments_28_09_2026/trial_110_LA_S5</t>
  </si>
  <si>
    <t xml:space="preserve">/home/deep/morty_ws/experiments/experiments_28_09_2026/trial_111_LA_S6</t>
  </si>
  <si>
    <t xml:space="preserve">/home/deep/morty_ws/experiments/experiments_28_09_2026/trial_112_LA_S7</t>
  </si>
  <si>
    <t xml:space="preserve">/home/deep/morty_ws/experiments/experiments_29_09_2026/trial_114_LA_S7</t>
  </si>
  <si>
    <t xml:space="preserve">/home/deep/morty_ws/experiments/experiments_29_09_2026/trial_113_LA_S7</t>
  </si>
  <si>
    <t xml:space="preserve">/home/deep/morty_ws/experiments/experiments_29_09_2026/trial_115_LA_S6</t>
  </si>
  <si>
    <t xml:space="preserve">/home/deep/morty_ws/experiments/experiments_29_09_2026/trial_116_LA_S1</t>
  </si>
  <si>
    <t xml:space="preserve">/home/deep/morty_ws/experiments/experiments_29_09_2026/trial_117_LA_S2</t>
  </si>
  <si>
    <t xml:space="preserve">/home/deep/morty_ws/experiments/experiments_29_09_2026/trial_118_LA_S1</t>
  </si>
  <si>
    <t xml:space="preserve">/home/deep/morty_ws/experiments/experiments_29_09_2026/trial_119_LA_S4</t>
  </si>
  <si>
    <t xml:space="preserve">/home/deep/morty_ws/experiments/experiments_29_09_2026/trial_120_LA_S5</t>
  </si>
  <si>
    <t xml:space="preserve">/home/deep/morty_ws/experiments/experiments_29_09_2026/trial_121_LA_S6</t>
  </si>
  <si>
    <t xml:space="preserve">/home/deep/morty_ws/experiments/experiments_29_09_2026/trial_122_LA_S7</t>
  </si>
  <si>
    <t xml:space="preserve">/home/deep/morty_ws/experiments/experiments_29_09_2026/trial_123_LA_S1</t>
  </si>
  <si>
    <t xml:space="preserve">/home/deep/morty_ws/experiments/experiments_29_09_2026/trial_124_LA_S2</t>
  </si>
  <si>
    <t xml:space="preserve">/home/deep/morty_ws/experiments/experiments_29_09_2026/trial_126_LA_S4</t>
  </si>
  <si>
    <t xml:space="preserve">/home/deep/morty_ws/experiments/experiments_29_09_2026/trial_127_LA_S5</t>
  </si>
  <si>
    <t xml:space="preserve">/home/deep/morty_ws/experiments/experiments_29_09_2026/trial_128_LA_S6</t>
  </si>
  <si>
    <t xml:space="preserve">/home/deep/morty_ws/experiments/experiments_29_09_2026/trial_129_LA_S7</t>
  </si>
  <si>
    <t xml:space="preserve">/home/deep/morty_ws/experiments/experiments_29_09_2026/trial_125_LA_S3</t>
  </si>
  <si>
    <t xml:space="preserve">/home/deep/morty_ws/experiments/experiments_30_09_2026/trial_131_LB_S2</t>
  </si>
  <si>
    <t xml:space="preserve">/home/deep/morty_ws/experiments/experiments_30_09_2026/trial_132_LB_S2</t>
  </si>
  <si>
    <t xml:space="preserve">/home/deep/morty_ws/experiments/experiments_30_09_2026/trial_133_LB_S3</t>
  </si>
  <si>
    <t xml:space="preserve">/home/deep/morty_ws/experiments/experiments_30_09_2026/trial_135_LB_S4</t>
  </si>
  <si>
    <t xml:space="preserve">/home/deep/morty_ws/experiments/experiments_30_09_2026/trial_136_LB_S5</t>
  </si>
  <si>
    <t xml:space="preserve">/home/deep/morty_ws/experiments/experiments_30_09_2026/trial_137_LB_S6</t>
  </si>
  <si>
    <t xml:space="preserve">/home/deep/morty_ws/experiments/experiments_30_09_2026/trial_138_LA_S7</t>
  </si>
  <si>
    <t xml:space="preserve">/home/deep/morty_ws/experiments/experiments_30_09_2026/trial_139_LB_S1</t>
  </si>
  <si>
    <t xml:space="preserve">/home/deep/morty_ws/experiments/experiments_30_09_2026/trial_140_LB_S2</t>
  </si>
  <si>
    <t xml:space="preserve">/home/deep/morty_ws/experiments/experiments_30_09_2026/trial_143_LA_S3</t>
  </si>
  <si>
    <t xml:space="preserve">/home/deep/morty_ws/experiments/experiments_30_09_2026/trial_144_LB_S4</t>
  </si>
  <si>
    <t xml:space="preserve">/home/deep/morty_ws/experiments/experiments_30_09_2026/trial_146_LB_S6</t>
  </si>
  <si>
    <t xml:space="preserve">/home/deep/morty_ws/experiments/experiments_30_09_2026/trial_147_LB_S7</t>
  </si>
  <si>
    <t xml:space="preserve">/home/deep/morty_ws/experiments/experiments_30_09_2026/trial_148_LB_S1</t>
  </si>
  <si>
    <t xml:space="preserve">/home/deep/morty_ws/experiments/experiments_30_09_2026/trial_149_LB_S2</t>
  </si>
  <si>
    <t xml:space="preserve">/home/deep/morty_ws/experiments/experiments_30_09_2026/trial_150_LB_S3</t>
  </si>
  <si>
    <t xml:space="preserve">/home/deep/morty_ws/experiments/experiments_30_09_2026/trial_154_LB_S6</t>
  </si>
  <si>
    <t xml:space="preserve">/home/deep/morty_ws/experiments/experiments_30_09_2026/trial_151_LB_S4</t>
  </si>
  <si>
    <t xml:space="preserve">/home/deep/morty_ws/experiments/experiments_30_09_2026/trial_152_LB_S5</t>
  </si>
  <si>
    <t xml:space="preserve">/home/deep/morty_ws/experiments/experiments_30_09_2026/trial_153_LB_S6</t>
  </si>
  <si>
    <t xml:space="preserve">/home/deep/morty_ws/experiments/experiments_30_09_2026/trial_155_LB_S7</t>
  </si>
  <si>
    <t xml:space="preserve">/home/deep/morty_ws/experiments/experiments_30_09_2026/trial_145_LB_S5</t>
  </si>
  <si>
    <t xml:space="preserve">/home/deep/morty_ws/experiments/experiments_30_09_2026/trial_156_LB_S1</t>
  </si>
  <si>
    <t xml:space="preserve">/home/deep/morty_ws/experiments/experiments_30_09_2026/trial_157_LB_S2</t>
  </si>
  <si>
    <t xml:space="preserve">/home/deep/morty_ws/experiments/experiments_30_09_2026/trial_158_LB_S3</t>
  </si>
  <si>
    <t xml:space="preserve">/home/deep/morty_ws/experiments/experiments_30_09_2026/trial_159_LB_S4</t>
  </si>
  <si>
    <t xml:space="preserve">/home/deep/morty_ws/experiments/experiments_30_09_2026/trial_160_LB_S5</t>
  </si>
  <si>
    <t xml:space="preserve">/home/deep/morty_ws/experiments/experiments_30_09_2026/trial_161_LB_S6</t>
  </si>
  <si>
    <t xml:space="preserve">/home/deep/morty_ws/experiments/experiments_30_09_2026/trial_162_LB_S7</t>
  </si>
  <si>
    <t xml:space="preserve">/home/deep/morty_ws/experiments/experiments_30_09_2026/trial_163_LB_S1</t>
  </si>
  <si>
    <t xml:space="preserve">/home/deep/morty_ws/experiments/experiments_30_09_2026/trial_164_LB_S2</t>
  </si>
  <si>
    <t xml:space="preserve">/home/deep/morty_ws/experiments/experiments_30_09_2026/trial_166_LB_S3</t>
  </si>
  <si>
    <t xml:space="preserve">/home/deep/morty_ws/experiments/experiments_30_09_2026/trial_167_LB_S4</t>
  </si>
  <si>
    <t xml:space="preserve">/home/deep/morty_ws/experiments/experiments_30_09_2026/trial_168_LB_S5</t>
  </si>
  <si>
    <t xml:space="preserve">/home/deep/morty_ws/experiments/experiments_30_09_2026/trial_169_LB_S6</t>
  </si>
  <si>
    <t xml:space="preserve">/home/deep/morty_ws/experiments/experiments_30_09_2026/trial_170_LB_S6</t>
  </si>
  <si>
    <t xml:space="preserve">/home/deep/morty_ws/experiments/experiments_30_09_2026/trial_171_LB_S7</t>
  </si>
  <si>
    <t xml:space="preserve">/home/deep/morty_ws/experiments/experiments_30_09_2026/trial_172_LC_S1</t>
  </si>
  <si>
    <t xml:space="preserve">/home/deep/morty_ws/experiments/experiments_30_09_2026/trial_173_LC_S2</t>
  </si>
  <si>
    <t xml:space="preserve">/home/deep/morty_ws/experiments/experiments_30_09_2026/trial_174_LC_S3</t>
  </si>
  <si>
    <t xml:space="preserve">/home/deep/morty_ws/experiments/experiments_01_10_2026/trial_175_LC_S1</t>
  </si>
  <si>
    <t xml:space="preserve">/home/deep/morty_ws/experiments/experiments_01_10_2026/trial_176_LC_S2</t>
  </si>
  <si>
    <t xml:space="preserve">/home/deep/morty_ws/experiments/experiments_01_10_2026/trial_178_LC_S4</t>
  </si>
  <si>
    <t xml:space="preserve">/home/deep/morty_ws/experiments/experiments_01_10_2026/trial_180_LA_S4</t>
  </si>
  <si>
    <t xml:space="preserve">/home/deep/morty_ws/experiments/experiments_01_10_2026/trial_181_LA_S5</t>
  </si>
  <si>
    <t xml:space="preserve">/home/deep/morty_ws/experiments/experiments_01_10_2026/trial_182_LC_S6</t>
  </si>
  <si>
    <t xml:space="preserve">/home/deep/morty_ws/experiments/experiments_01_10_2026/trial_183_LC_S7</t>
  </si>
  <si>
    <t xml:space="preserve">/home/deep/morty_ws/experiments/experiments_01_10_2026/trial_184_LC_S1</t>
  </si>
  <si>
    <t xml:space="preserve">/home/deep/morty_ws/experiments/experiments_01_10_2026/trial_177_LC_S3</t>
  </si>
  <si>
    <t xml:space="preserve">/home/deep/morty_ws/experiments/experiments_01_10_2026/trial_186_LC_S2</t>
  </si>
  <si>
    <t xml:space="preserve">/home/deep/morty_ws/experiments/experiments_01_10_2026/trial_187_LA_S3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</si>
</sst>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F0D9"/>
      </patternFill>
    </fill>
    <fill>
      <patternFill patternType="solid">
        <fgColor rgb="FFFF860D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DCE6F1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860D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0563C1"/>
        </patternFill>
      </fill>
    </dxf>
    <dxf>
      <fill>
        <patternFill>
          <bgColor rgb="FFE2F0D9"/>
        </patternFill>
      </fill>
    </dxf>
    <dxf>
      <fill>
        <patternFill>
          <bgColor rgb="FFF8D7DA"/>
        </patternFill>
      </fill>
    </dxf>
    <dxf>
      <fill>
        <patternFill>
          <bgColor rgb="FFE2F0D9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563C1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860D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experiments_28_09_2026/trial_086_LA_S1" TargetMode="External"/><Relationship Id="rId3" Type="http://schemas.openxmlformats.org/officeDocument/2006/relationships/hyperlink" Target="experiments_28_09_2026/trial_086_LA_S1/trial.mp4" TargetMode="External"/><Relationship Id="rId4" Type="http://schemas.openxmlformats.org/officeDocument/2006/relationships/hyperlink" Target="experiments_28_09_2026/trial_087_LA_S2" TargetMode="External"/><Relationship Id="rId5" Type="http://schemas.openxmlformats.org/officeDocument/2006/relationships/hyperlink" Target="experiments_28_09_2026/trial_087_LA_S2/trial.mp4" TargetMode="External"/><Relationship Id="rId6" Type="http://schemas.openxmlformats.org/officeDocument/2006/relationships/hyperlink" Target="experiments_28_09_2026/trial_088_LA_S3" TargetMode="External"/><Relationship Id="rId7" Type="http://schemas.openxmlformats.org/officeDocument/2006/relationships/hyperlink" Target="experiments_28_09_2026/trial_088_LA_S3/viewer.html" TargetMode="External"/><Relationship Id="rId8" Type="http://schemas.openxmlformats.org/officeDocument/2006/relationships/hyperlink" Target="experiments_28_09_2026/trial_088_LA_S3/trial.mp4" TargetMode="External"/><Relationship Id="rId9" Type="http://schemas.openxmlformats.org/officeDocument/2006/relationships/hyperlink" Target="experiments_28_09_2026/trial_089_LA_S4" TargetMode="External"/><Relationship Id="rId10" Type="http://schemas.openxmlformats.org/officeDocument/2006/relationships/hyperlink" Target="experiments_28_09_2026/trial_089_LA_S4/viewer.html" TargetMode="External"/><Relationship Id="rId11" Type="http://schemas.openxmlformats.org/officeDocument/2006/relationships/hyperlink" Target="experiments_28_09_2026/trial_089_LA_S4/trial.mp4" TargetMode="External"/><Relationship Id="rId12" Type="http://schemas.openxmlformats.org/officeDocument/2006/relationships/hyperlink" Target="experiments_28_09_2026/trial_090_LA_S5" TargetMode="External"/><Relationship Id="rId13" Type="http://schemas.openxmlformats.org/officeDocument/2006/relationships/hyperlink" Target="experiments_28_09_2026/trial_090_LA_S5/viewer.html" TargetMode="External"/><Relationship Id="rId14" Type="http://schemas.openxmlformats.org/officeDocument/2006/relationships/hyperlink" Target="experiments_28_09_2026/trial_090_LA_S5/trial.mp4" TargetMode="External"/><Relationship Id="rId15" Type="http://schemas.openxmlformats.org/officeDocument/2006/relationships/hyperlink" Target="experiments_28_09_2026/trial_091_LA_S6" TargetMode="External"/><Relationship Id="rId16" Type="http://schemas.openxmlformats.org/officeDocument/2006/relationships/hyperlink" Target="experiments_28_09_2026/trial_091_LA_S6/viewer.html" TargetMode="External"/><Relationship Id="rId17" Type="http://schemas.openxmlformats.org/officeDocument/2006/relationships/hyperlink" Target="experiments_28_09_2026/trial_091_LA_S6/trial.mp4" TargetMode="External"/><Relationship Id="rId18" Type="http://schemas.openxmlformats.org/officeDocument/2006/relationships/hyperlink" Target="experiments_28_09_2026/trial_092_LA_S1" TargetMode="External"/><Relationship Id="rId19" Type="http://schemas.openxmlformats.org/officeDocument/2006/relationships/hyperlink" Target="experiments_28_09_2026/trial_092_LA_S1/trial.mp4" TargetMode="External"/><Relationship Id="rId20" Type="http://schemas.openxmlformats.org/officeDocument/2006/relationships/hyperlink" Target="experiments_28_09_2026/trial_093_LA_S2" TargetMode="External"/><Relationship Id="rId21" Type="http://schemas.openxmlformats.org/officeDocument/2006/relationships/hyperlink" Target="experiments_28_09_2026/trial_093_LA_S2/trial.mp4" TargetMode="External"/><Relationship Id="rId22" Type="http://schemas.openxmlformats.org/officeDocument/2006/relationships/hyperlink" Target="experiments_28_09_2026/trial_095_LA_S3" TargetMode="External"/><Relationship Id="rId23" Type="http://schemas.openxmlformats.org/officeDocument/2006/relationships/hyperlink" Target="experiments_28_09_2026/trial_095_LA_S3/viewer.html" TargetMode="External"/><Relationship Id="rId24" Type="http://schemas.openxmlformats.org/officeDocument/2006/relationships/hyperlink" Target="experiments_28_09_2026/trial_095_LA_S3/trial.mp4" TargetMode="External"/><Relationship Id="rId25" Type="http://schemas.openxmlformats.org/officeDocument/2006/relationships/hyperlink" Target="experiments_28_09_2026/trial_097_LA_S5" TargetMode="External"/><Relationship Id="rId26" Type="http://schemas.openxmlformats.org/officeDocument/2006/relationships/hyperlink" Target="experiments_28_09_2026/trial_097_LA_S5/viewer.html" TargetMode="External"/><Relationship Id="rId27" Type="http://schemas.openxmlformats.org/officeDocument/2006/relationships/hyperlink" Target="experiments_28_09_2026/trial_097_LA_S5/trial.mp4" TargetMode="External"/><Relationship Id="rId28" Type="http://schemas.openxmlformats.org/officeDocument/2006/relationships/hyperlink" Target="experiments_28_09_2026/trial_096_LA_S4" TargetMode="External"/><Relationship Id="rId29" Type="http://schemas.openxmlformats.org/officeDocument/2006/relationships/hyperlink" Target="experiments_28_09_2026/trial_096_LA_S4/viewer.html" TargetMode="External"/><Relationship Id="rId30" Type="http://schemas.openxmlformats.org/officeDocument/2006/relationships/hyperlink" Target="experiments_28_09_2026/trial_096_LA_S4/trial.mp4" TargetMode="External"/><Relationship Id="rId31" Type="http://schemas.openxmlformats.org/officeDocument/2006/relationships/hyperlink" Target="experiments_28_09_2026/trial_099_LA_S3" TargetMode="External"/><Relationship Id="rId32" Type="http://schemas.openxmlformats.org/officeDocument/2006/relationships/hyperlink" Target="experiments_28_09_2026/trial_099_LA_S3/viewer.html" TargetMode="External"/><Relationship Id="rId33" Type="http://schemas.openxmlformats.org/officeDocument/2006/relationships/hyperlink" Target="experiments_28_09_2026/trial_099_LA_S3/trial.mp4" TargetMode="External"/><Relationship Id="rId34" Type="http://schemas.openxmlformats.org/officeDocument/2006/relationships/hyperlink" Target="experiments_28_09_2026/trial_100_LA_S3" TargetMode="External"/><Relationship Id="rId35" Type="http://schemas.openxmlformats.org/officeDocument/2006/relationships/hyperlink" Target="experiments_28_09_2026/trial_100_LA_S3/viewer.html" TargetMode="External"/><Relationship Id="rId36" Type="http://schemas.openxmlformats.org/officeDocument/2006/relationships/hyperlink" Target="experiments_28_09_2026/trial_100_LA_S3/trial.mp4" TargetMode="External"/><Relationship Id="rId37" Type="http://schemas.openxmlformats.org/officeDocument/2006/relationships/hyperlink" Target="experiments_28_09_2026/trial_101_LA_S4" TargetMode="External"/><Relationship Id="rId38" Type="http://schemas.openxmlformats.org/officeDocument/2006/relationships/hyperlink" Target="experiments_28_09_2026/trial_101_LA_S4/viewer.html" TargetMode="External"/><Relationship Id="rId39" Type="http://schemas.openxmlformats.org/officeDocument/2006/relationships/hyperlink" Target="experiments_28_09_2026/trial_101_LA_S4/trial.mp4" TargetMode="External"/><Relationship Id="rId40" Type="http://schemas.openxmlformats.org/officeDocument/2006/relationships/hyperlink" Target="experiments_28_09_2026/trial_105_LA_S1" TargetMode="External"/><Relationship Id="rId41" Type="http://schemas.openxmlformats.org/officeDocument/2006/relationships/hyperlink" Target="experiments_28_09_2026/trial_105_LA_S1/trial.mp4" TargetMode="External"/><Relationship Id="rId42" Type="http://schemas.openxmlformats.org/officeDocument/2006/relationships/hyperlink" Target="experiments_28_09_2026/trial_107_LA_S2" TargetMode="External"/><Relationship Id="rId43" Type="http://schemas.openxmlformats.org/officeDocument/2006/relationships/hyperlink" Target="experiments_28_09_2026/trial_107_LA_S2/trial.mp4" TargetMode="External"/><Relationship Id="rId44" Type="http://schemas.openxmlformats.org/officeDocument/2006/relationships/hyperlink" Target="experiments_28_09_2026/trial_108_LA_S3" TargetMode="External"/><Relationship Id="rId45" Type="http://schemas.openxmlformats.org/officeDocument/2006/relationships/hyperlink" Target="experiments_28_09_2026/trial_108_LA_S3/trial.mp4" TargetMode="External"/><Relationship Id="rId46" Type="http://schemas.openxmlformats.org/officeDocument/2006/relationships/hyperlink" Target="experiments_28_09_2026/trial_109_LA_S4" TargetMode="External"/><Relationship Id="rId47" Type="http://schemas.openxmlformats.org/officeDocument/2006/relationships/hyperlink" Target="experiments_28_09_2026/trial_109_LA_S4/trial.mp4" TargetMode="External"/><Relationship Id="rId48" Type="http://schemas.openxmlformats.org/officeDocument/2006/relationships/hyperlink" Target="experiments_28_09_2026/trial_110_LA_S5" TargetMode="External"/><Relationship Id="rId49" Type="http://schemas.openxmlformats.org/officeDocument/2006/relationships/hyperlink" Target="experiments_28_09_2026/trial_110_LA_S5/trial.mp4" TargetMode="External"/><Relationship Id="rId50" Type="http://schemas.openxmlformats.org/officeDocument/2006/relationships/hyperlink" Target="experiments_28_09_2026/trial_111_LA_S6" TargetMode="External"/><Relationship Id="rId51" Type="http://schemas.openxmlformats.org/officeDocument/2006/relationships/hyperlink" Target="experiments_28_09_2026/trial_111_LA_S6/trial.mp4" TargetMode="External"/><Relationship Id="rId52" Type="http://schemas.openxmlformats.org/officeDocument/2006/relationships/hyperlink" Target="experiments_28_09_2026/trial_112_LA_S7" TargetMode="External"/><Relationship Id="rId53" Type="http://schemas.openxmlformats.org/officeDocument/2006/relationships/hyperlink" Target="experiments_28_09_2026/trial_112_LA_S7/trial.mp4" TargetMode="External"/><Relationship Id="rId54" Type="http://schemas.openxmlformats.org/officeDocument/2006/relationships/hyperlink" Target="experiments_29_09_2026/trial_114_LA_S7" TargetMode="External"/><Relationship Id="rId55" Type="http://schemas.openxmlformats.org/officeDocument/2006/relationships/hyperlink" Target="experiments_29_09_2026/trial_114_LA_S7/viewer.html" TargetMode="External"/><Relationship Id="rId56" Type="http://schemas.openxmlformats.org/officeDocument/2006/relationships/hyperlink" Target="experiments_29_09_2026/trial_114_LA_S7/trial.mp4" TargetMode="External"/><Relationship Id="rId57" Type="http://schemas.openxmlformats.org/officeDocument/2006/relationships/hyperlink" Target="experiments_29_09_2026/trial_113_LA_S7" TargetMode="External"/><Relationship Id="rId58" Type="http://schemas.openxmlformats.org/officeDocument/2006/relationships/hyperlink" Target="experiments_29_09_2026/trial_113_LA_S7/viewer.html" TargetMode="External"/><Relationship Id="rId59" Type="http://schemas.openxmlformats.org/officeDocument/2006/relationships/hyperlink" Target="experiments_29_09_2026/trial_113_LA_S7/trial.mp4" TargetMode="External"/><Relationship Id="rId60" Type="http://schemas.openxmlformats.org/officeDocument/2006/relationships/hyperlink" Target="experiments_29_09_2026/trial_115_LA_S6" TargetMode="External"/><Relationship Id="rId61" Type="http://schemas.openxmlformats.org/officeDocument/2006/relationships/hyperlink" Target="experiments_29_09_2026/trial_115_LA_S6/viewer.html" TargetMode="External"/><Relationship Id="rId62" Type="http://schemas.openxmlformats.org/officeDocument/2006/relationships/hyperlink" Target="experiments_29_09_2026/trial_115_LA_S6/trial.mp4" TargetMode="External"/><Relationship Id="rId63" Type="http://schemas.openxmlformats.org/officeDocument/2006/relationships/hyperlink" Target="experiments_29_09_2026/trial_116_LA_S1" TargetMode="External"/><Relationship Id="rId64" Type="http://schemas.openxmlformats.org/officeDocument/2006/relationships/hyperlink" Target="experiments_29_09_2026/trial_116_LA_S1/trial.mp4" TargetMode="External"/><Relationship Id="rId65" Type="http://schemas.openxmlformats.org/officeDocument/2006/relationships/hyperlink" Target="experiments_29_09_2026/trial_117_LA_S2" TargetMode="External"/><Relationship Id="rId66" Type="http://schemas.openxmlformats.org/officeDocument/2006/relationships/hyperlink" Target="experiments_29_09_2026/trial_117_LA_S2/trial.mp4" TargetMode="External"/><Relationship Id="rId67" Type="http://schemas.openxmlformats.org/officeDocument/2006/relationships/hyperlink" Target="experiments_29_09_2026/trial_118_LA_S1" TargetMode="External"/><Relationship Id="rId68" Type="http://schemas.openxmlformats.org/officeDocument/2006/relationships/hyperlink" Target="experiments_29_09_2026/trial_118_LA_S1/viewer.html" TargetMode="External"/><Relationship Id="rId69" Type="http://schemas.openxmlformats.org/officeDocument/2006/relationships/hyperlink" Target="experiments_29_09_2026/trial_118_LA_S1/trial.mp4" TargetMode="External"/><Relationship Id="rId70" Type="http://schemas.openxmlformats.org/officeDocument/2006/relationships/hyperlink" Target="experiments_29_09_2026/trial_119_LA_S4" TargetMode="External"/><Relationship Id="rId71" Type="http://schemas.openxmlformats.org/officeDocument/2006/relationships/hyperlink" Target="experiments_29_09_2026/trial_119_LA_S4/viewer.html" TargetMode="External"/><Relationship Id="rId72" Type="http://schemas.openxmlformats.org/officeDocument/2006/relationships/hyperlink" Target="experiments_29_09_2026/trial_119_LA_S4/trial.mp4" TargetMode="External"/><Relationship Id="rId73" Type="http://schemas.openxmlformats.org/officeDocument/2006/relationships/hyperlink" Target="experiments_29_09_2026/trial_120_LA_S5" TargetMode="External"/><Relationship Id="rId74" Type="http://schemas.openxmlformats.org/officeDocument/2006/relationships/hyperlink" Target="experiments_29_09_2026/trial_120_LA_S5/viewer.html" TargetMode="External"/><Relationship Id="rId75" Type="http://schemas.openxmlformats.org/officeDocument/2006/relationships/hyperlink" Target="experiments_29_09_2026/trial_120_LA_S5/trial.mp4" TargetMode="External"/><Relationship Id="rId76" Type="http://schemas.openxmlformats.org/officeDocument/2006/relationships/hyperlink" Target="experiments_29_09_2026/trial_121_LA_S6" TargetMode="External"/><Relationship Id="rId77" Type="http://schemas.openxmlformats.org/officeDocument/2006/relationships/hyperlink" Target="experiments_29_09_2026/trial_121_LA_S6/viewer.html" TargetMode="External"/><Relationship Id="rId78" Type="http://schemas.openxmlformats.org/officeDocument/2006/relationships/hyperlink" Target="experiments_29_09_2026/trial_121_LA_S6/trial.mp4" TargetMode="External"/><Relationship Id="rId79" Type="http://schemas.openxmlformats.org/officeDocument/2006/relationships/hyperlink" Target="experiments_29_09_2026/trial_122_LA_S7" TargetMode="External"/><Relationship Id="rId80" Type="http://schemas.openxmlformats.org/officeDocument/2006/relationships/hyperlink" Target="experiments_29_09_2026/trial_122_LA_S7/viewer.html" TargetMode="External"/><Relationship Id="rId81" Type="http://schemas.openxmlformats.org/officeDocument/2006/relationships/hyperlink" Target="experiments_29_09_2026/trial_122_LA_S7/trial.mp4" TargetMode="External"/><Relationship Id="rId82" Type="http://schemas.openxmlformats.org/officeDocument/2006/relationships/hyperlink" Target="experiments_29_09_2026/trial_123_LA_S1" TargetMode="External"/><Relationship Id="rId83" Type="http://schemas.openxmlformats.org/officeDocument/2006/relationships/hyperlink" Target="experiments_29_09_2026/trial_123_LA_S1/trial.mp4" TargetMode="External"/><Relationship Id="rId84" Type="http://schemas.openxmlformats.org/officeDocument/2006/relationships/hyperlink" Target="experiments_29_09_2026/trial_124_LA_S2" TargetMode="External"/><Relationship Id="rId85" Type="http://schemas.openxmlformats.org/officeDocument/2006/relationships/hyperlink" Target="experiments_29_09_2026/trial_124_LA_S2/trial.mp4" TargetMode="External"/><Relationship Id="rId86" Type="http://schemas.openxmlformats.org/officeDocument/2006/relationships/hyperlink" Target="experiments_29_09_2026/trial_126_LA_S4" TargetMode="External"/><Relationship Id="rId87" Type="http://schemas.openxmlformats.org/officeDocument/2006/relationships/hyperlink" Target="experiments_29_09_2026/trial_126_LA_S4/viewer.html" TargetMode="External"/><Relationship Id="rId88" Type="http://schemas.openxmlformats.org/officeDocument/2006/relationships/hyperlink" Target="experiments_29_09_2026/trial_126_LA_S4/trial.mp4" TargetMode="External"/><Relationship Id="rId89" Type="http://schemas.openxmlformats.org/officeDocument/2006/relationships/hyperlink" Target="experiments_29_09_2026/trial_127_LA_S5" TargetMode="External"/><Relationship Id="rId90" Type="http://schemas.openxmlformats.org/officeDocument/2006/relationships/hyperlink" Target="experiments_29_09_2026/trial_127_LA_S5/viewer.html" TargetMode="External"/><Relationship Id="rId91" Type="http://schemas.openxmlformats.org/officeDocument/2006/relationships/hyperlink" Target="experiments_29_09_2026/trial_127_LA_S5/trial.mp4" TargetMode="External"/><Relationship Id="rId92" Type="http://schemas.openxmlformats.org/officeDocument/2006/relationships/hyperlink" Target="experiments_29_09_2026/trial_128_LA_S6" TargetMode="External"/><Relationship Id="rId93" Type="http://schemas.openxmlformats.org/officeDocument/2006/relationships/hyperlink" Target="experiments_29_09_2026/trial_128_LA_S6/viewer.html" TargetMode="External"/><Relationship Id="rId94" Type="http://schemas.openxmlformats.org/officeDocument/2006/relationships/hyperlink" Target="experiments_29_09_2026/trial_128_LA_S6/trial.mp4" TargetMode="External"/><Relationship Id="rId95" Type="http://schemas.openxmlformats.org/officeDocument/2006/relationships/hyperlink" Target="experiments_29_09_2026/trial_129_LA_S7" TargetMode="External"/><Relationship Id="rId96" Type="http://schemas.openxmlformats.org/officeDocument/2006/relationships/hyperlink" Target="experiments_29_09_2026/trial_129_LA_S7/viewer.html" TargetMode="External"/><Relationship Id="rId97" Type="http://schemas.openxmlformats.org/officeDocument/2006/relationships/hyperlink" Target="experiments_29_09_2026/trial_129_LA_S7/trial.mp4" TargetMode="External"/><Relationship Id="rId98" Type="http://schemas.openxmlformats.org/officeDocument/2006/relationships/hyperlink" Target="experiments_29_09_2026/trial_125_LA_S3" TargetMode="External"/><Relationship Id="rId99" Type="http://schemas.openxmlformats.org/officeDocument/2006/relationships/hyperlink" Target="experiments_29_09_2026/trial_125_LA_S3/viewer.html" TargetMode="External"/><Relationship Id="rId100" Type="http://schemas.openxmlformats.org/officeDocument/2006/relationships/hyperlink" Target="experiments_29_09_2026/trial_125_LA_S3/trial.mp4" TargetMode="External"/><Relationship Id="rId101" Type="http://schemas.openxmlformats.org/officeDocument/2006/relationships/hyperlink" Target="experiments_30_09_2026/trial_131_LB_S2" TargetMode="External"/><Relationship Id="rId102" Type="http://schemas.openxmlformats.org/officeDocument/2006/relationships/hyperlink" Target="experiments_30_09_2026/trial_131_LB_S2/trial.mp4" TargetMode="External"/><Relationship Id="rId103" Type="http://schemas.openxmlformats.org/officeDocument/2006/relationships/hyperlink" Target="experiments_30_09_2026/trial_132_LB_S2" TargetMode="External"/><Relationship Id="rId104" Type="http://schemas.openxmlformats.org/officeDocument/2006/relationships/hyperlink" Target="experiments_30_09_2026/trial_132_LB_S2/trial.mp4" TargetMode="External"/><Relationship Id="rId105" Type="http://schemas.openxmlformats.org/officeDocument/2006/relationships/hyperlink" Target="experiments_30_09_2026/trial_133_LB_S3" TargetMode="External"/><Relationship Id="rId106" Type="http://schemas.openxmlformats.org/officeDocument/2006/relationships/hyperlink" Target="experiments_30_09_2026/trial_133_LB_S3/viewer.html" TargetMode="External"/><Relationship Id="rId107" Type="http://schemas.openxmlformats.org/officeDocument/2006/relationships/hyperlink" Target="experiments_30_09_2026/trial_133_LB_S3/trial.mp4" TargetMode="External"/><Relationship Id="rId108" Type="http://schemas.openxmlformats.org/officeDocument/2006/relationships/hyperlink" Target="experiments_30_09_2026/trial_135_LB_S4" TargetMode="External"/><Relationship Id="rId109" Type="http://schemas.openxmlformats.org/officeDocument/2006/relationships/hyperlink" Target="experiments_30_09_2026/trial_135_LB_S4/viewer.html" TargetMode="External"/><Relationship Id="rId110" Type="http://schemas.openxmlformats.org/officeDocument/2006/relationships/hyperlink" Target="experiments_30_09_2026/trial_135_LB_S4/trial.mp4" TargetMode="External"/><Relationship Id="rId111" Type="http://schemas.openxmlformats.org/officeDocument/2006/relationships/hyperlink" Target="experiments_30_09_2026/trial_136_LB_S5" TargetMode="External"/><Relationship Id="rId112" Type="http://schemas.openxmlformats.org/officeDocument/2006/relationships/hyperlink" Target="experiments_30_09_2026/trial_136_LB_S5/viewer.html" TargetMode="External"/><Relationship Id="rId113" Type="http://schemas.openxmlformats.org/officeDocument/2006/relationships/hyperlink" Target="experiments_30_09_2026/trial_136_LB_S5/trial.mp4" TargetMode="External"/><Relationship Id="rId114" Type="http://schemas.openxmlformats.org/officeDocument/2006/relationships/hyperlink" Target="experiments_30_09_2026/trial_137_LB_S6" TargetMode="External"/><Relationship Id="rId115" Type="http://schemas.openxmlformats.org/officeDocument/2006/relationships/hyperlink" Target="experiments_30_09_2026/trial_137_LB_S6/viewer.html" TargetMode="External"/><Relationship Id="rId116" Type="http://schemas.openxmlformats.org/officeDocument/2006/relationships/hyperlink" Target="experiments_30_09_2026/trial_137_LB_S6/trial.mp4" TargetMode="External"/><Relationship Id="rId117" Type="http://schemas.openxmlformats.org/officeDocument/2006/relationships/hyperlink" Target="experiments_30_09_2026/trial_138_LA_S7" TargetMode="External"/><Relationship Id="rId118" Type="http://schemas.openxmlformats.org/officeDocument/2006/relationships/hyperlink" Target="experiments_30_09_2026/trial_138_LA_S7/viewer.html" TargetMode="External"/><Relationship Id="rId119" Type="http://schemas.openxmlformats.org/officeDocument/2006/relationships/hyperlink" Target="experiments_30_09_2026/trial_138_LA_S7/trial.mp4" TargetMode="External"/><Relationship Id="rId120" Type="http://schemas.openxmlformats.org/officeDocument/2006/relationships/hyperlink" Target="experiments_30_09_2026/trial_139_LB_S1" TargetMode="External"/><Relationship Id="rId121" Type="http://schemas.openxmlformats.org/officeDocument/2006/relationships/hyperlink" Target="experiments_30_09_2026/trial_139_LB_S1/trial.mp4" TargetMode="External"/><Relationship Id="rId122" Type="http://schemas.openxmlformats.org/officeDocument/2006/relationships/hyperlink" Target="experiments_30_09_2026/trial_140_LB_S2" TargetMode="External"/><Relationship Id="rId123" Type="http://schemas.openxmlformats.org/officeDocument/2006/relationships/hyperlink" Target="experiments_30_09_2026/trial_140_LB_S2/trial.mp4" TargetMode="External"/><Relationship Id="rId124" Type="http://schemas.openxmlformats.org/officeDocument/2006/relationships/hyperlink" Target="experiments_30_09_2026/trial_143_LA_S3" TargetMode="External"/><Relationship Id="rId125" Type="http://schemas.openxmlformats.org/officeDocument/2006/relationships/hyperlink" Target="experiments_30_09_2026/trial_143_LA_S3/viewer.html" TargetMode="External"/><Relationship Id="rId126" Type="http://schemas.openxmlformats.org/officeDocument/2006/relationships/hyperlink" Target="experiments_30_09_2026/trial_143_LA_S3/trial.mp4" TargetMode="External"/><Relationship Id="rId127" Type="http://schemas.openxmlformats.org/officeDocument/2006/relationships/hyperlink" Target="experiments_30_09_2026/trial_144_LB_S4" TargetMode="External"/><Relationship Id="rId128" Type="http://schemas.openxmlformats.org/officeDocument/2006/relationships/hyperlink" Target="experiments_30_09_2026/trial_144_LB_S4/viewer.html" TargetMode="External"/><Relationship Id="rId129" Type="http://schemas.openxmlformats.org/officeDocument/2006/relationships/hyperlink" Target="experiments_30_09_2026/trial_144_LB_S4/trial.mp4" TargetMode="External"/><Relationship Id="rId130" Type="http://schemas.openxmlformats.org/officeDocument/2006/relationships/hyperlink" Target="experiments_30_09_2026/trial_146_LB_S6" TargetMode="External"/><Relationship Id="rId131" Type="http://schemas.openxmlformats.org/officeDocument/2006/relationships/hyperlink" Target="experiments_30_09_2026/trial_146_LB_S6/viewer.html" TargetMode="External"/><Relationship Id="rId132" Type="http://schemas.openxmlformats.org/officeDocument/2006/relationships/hyperlink" Target="experiments_30_09_2026/trial_146_LB_S6/trial.mp4" TargetMode="External"/><Relationship Id="rId133" Type="http://schemas.openxmlformats.org/officeDocument/2006/relationships/hyperlink" Target="experiments_30_09_2026/trial_147_LB_S7" TargetMode="External"/><Relationship Id="rId134" Type="http://schemas.openxmlformats.org/officeDocument/2006/relationships/hyperlink" Target="experiments_30_09_2026/trial_147_LB_S7/viewer.html" TargetMode="External"/><Relationship Id="rId135" Type="http://schemas.openxmlformats.org/officeDocument/2006/relationships/hyperlink" Target="experiments_30_09_2026/trial_147_LB_S7/trial.mp4" TargetMode="External"/><Relationship Id="rId136" Type="http://schemas.openxmlformats.org/officeDocument/2006/relationships/hyperlink" Target="experiments_30_09_2026/trial_148_LB_S1" TargetMode="External"/><Relationship Id="rId137" Type="http://schemas.openxmlformats.org/officeDocument/2006/relationships/hyperlink" Target="experiments_30_09_2026/trial_148_LB_S1/trial.mp4" TargetMode="External"/><Relationship Id="rId138" Type="http://schemas.openxmlformats.org/officeDocument/2006/relationships/hyperlink" Target="experiments_30_09_2026/trial_149_LB_S2" TargetMode="External"/><Relationship Id="rId139" Type="http://schemas.openxmlformats.org/officeDocument/2006/relationships/hyperlink" Target="experiments_30_09_2026/trial_149_LB_S2/trial.mp4" TargetMode="External"/><Relationship Id="rId140" Type="http://schemas.openxmlformats.org/officeDocument/2006/relationships/hyperlink" Target="experiments_30_09_2026/trial_150_LB_S3" TargetMode="External"/><Relationship Id="rId141" Type="http://schemas.openxmlformats.org/officeDocument/2006/relationships/hyperlink" Target="experiments_30_09_2026/trial_150_LB_S3/viewer.html" TargetMode="External"/><Relationship Id="rId142" Type="http://schemas.openxmlformats.org/officeDocument/2006/relationships/hyperlink" Target="experiments_30_09_2026/trial_150_LB_S3/trial.mp4" TargetMode="External"/><Relationship Id="rId143" Type="http://schemas.openxmlformats.org/officeDocument/2006/relationships/hyperlink" Target="experiments_30_09_2026/trial_154_LB_S6" TargetMode="External"/><Relationship Id="rId144" Type="http://schemas.openxmlformats.org/officeDocument/2006/relationships/hyperlink" Target="experiments_30_09_2026/trial_154_LB_S6/viewer.html" TargetMode="External"/><Relationship Id="rId145" Type="http://schemas.openxmlformats.org/officeDocument/2006/relationships/hyperlink" Target="experiments_30_09_2026/trial_154_LB_S6/trial.mp4" TargetMode="External"/><Relationship Id="rId146" Type="http://schemas.openxmlformats.org/officeDocument/2006/relationships/hyperlink" Target="experiments_30_09_2026/trial_151_LB_S4" TargetMode="External"/><Relationship Id="rId147" Type="http://schemas.openxmlformats.org/officeDocument/2006/relationships/hyperlink" Target="experiments_30_09_2026/trial_151_LB_S4/viewer.html" TargetMode="External"/><Relationship Id="rId148" Type="http://schemas.openxmlformats.org/officeDocument/2006/relationships/hyperlink" Target="experiments_30_09_2026/trial_151_LB_S4/trial.mp4" TargetMode="External"/><Relationship Id="rId149" Type="http://schemas.openxmlformats.org/officeDocument/2006/relationships/hyperlink" Target="experiments_30_09_2026/trial_152_LB_S5" TargetMode="External"/><Relationship Id="rId150" Type="http://schemas.openxmlformats.org/officeDocument/2006/relationships/hyperlink" Target="experiments_30_09_2026/trial_152_LB_S5/viewer.html" TargetMode="External"/><Relationship Id="rId151" Type="http://schemas.openxmlformats.org/officeDocument/2006/relationships/hyperlink" Target="experiments_30_09_2026/trial_152_LB_S5/trial.mp4" TargetMode="External"/><Relationship Id="rId152" Type="http://schemas.openxmlformats.org/officeDocument/2006/relationships/hyperlink" Target="experiments_30_09_2026/trial_155_LB_S7" TargetMode="External"/><Relationship Id="rId153" Type="http://schemas.openxmlformats.org/officeDocument/2006/relationships/hyperlink" Target="experiments_30_09_2026/trial_155_LB_S7/viewer.html" TargetMode="External"/><Relationship Id="rId154" Type="http://schemas.openxmlformats.org/officeDocument/2006/relationships/hyperlink" Target="experiments_30_09_2026/trial_155_LB_S7/trial.mp4" TargetMode="External"/><Relationship Id="rId155" Type="http://schemas.openxmlformats.org/officeDocument/2006/relationships/hyperlink" Target="experiments_30_09_2026/trial_145_LB_S5" TargetMode="External"/><Relationship Id="rId156" Type="http://schemas.openxmlformats.org/officeDocument/2006/relationships/hyperlink" Target="experiments_30_09_2026/trial_145_LB_S5/viewer.html" TargetMode="External"/><Relationship Id="rId157" Type="http://schemas.openxmlformats.org/officeDocument/2006/relationships/hyperlink" Target="experiments_30_09_2026/trial_145_LB_S5/trial.mp4" TargetMode="External"/><Relationship Id="rId158" Type="http://schemas.openxmlformats.org/officeDocument/2006/relationships/hyperlink" Target="experiments_30_09_2026/trial_156_LB_S1" TargetMode="External"/><Relationship Id="rId159" Type="http://schemas.openxmlformats.org/officeDocument/2006/relationships/hyperlink" Target="experiments_30_09_2026/trial_156_LB_S1/trial.mp4" TargetMode="External"/><Relationship Id="rId160" Type="http://schemas.openxmlformats.org/officeDocument/2006/relationships/hyperlink" Target="experiments_30_09_2026/trial_157_LB_S2" TargetMode="External"/><Relationship Id="rId161" Type="http://schemas.openxmlformats.org/officeDocument/2006/relationships/hyperlink" Target="experiments_30_09_2026/trial_157_LB_S2/trial.mp4" TargetMode="External"/><Relationship Id="rId162" Type="http://schemas.openxmlformats.org/officeDocument/2006/relationships/hyperlink" Target="experiments_30_09_2026/trial_158_LB_S3" TargetMode="External"/><Relationship Id="rId163" Type="http://schemas.openxmlformats.org/officeDocument/2006/relationships/hyperlink" Target="experiments_30_09_2026/trial_158_LB_S3/viewer.html" TargetMode="External"/><Relationship Id="rId164" Type="http://schemas.openxmlformats.org/officeDocument/2006/relationships/hyperlink" Target="experiments_30_09_2026/trial_158_LB_S3/trial.mp4" TargetMode="External"/><Relationship Id="rId165" Type="http://schemas.openxmlformats.org/officeDocument/2006/relationships/hyperlink" Target="experiments_30_09_2026/trial_159_LB_S4" TargetMode="External"/><Relationship Id="rId166" Type="http://schemas.openxmlformats.org/officeDocument/2006/relationships/hyperlink" Target="experiments_30_09_2026/trial_159_LB_S4/viewer.html" TargetMode="External"/><Relationship Id="rId167" Type="http://schemas.openxmlformats.org/officeDocument/2006/relationships/hyperlink" Target="experiments_30_09_2026/trial_159_LB_S4/trial.mp4" TargetMode="External"/><Relationship Id="rId168" Type="http://schemas.openxmlformats.org/officeDocument/2006/relationships/hyperlink" Target="experiments_30_09_2026/trial_160_LB_S5" TargetMode="External"/><Relationship Id="rId169" Type="http://schemas.openxmlformats.org/officeDocument/2006/relationships/hyperlink" Target="experiments_30_09_2026/trial_160_LB_S5/viewer.html" TargetMode="External"/><Relationship Id="rId170" Type="http://schemas.openxmlformats.org/officeDocument/2006/relationships/hyperlink" Target="experiments_30_09_2026/trial_160_LB_S5/trial.mp4" TargetMode="External"/><Relationship Id="rId171" Type="http://schemas.openxmlformats.org/officeDocument/2006/relationships/hyperlink" Target="experiments_30_09_2026/trial_161_LB_S6" TargetMode="External"/><Relationship Id="rId172" Type="http://schemas.openxmlformats.org/officeDocument/2006/relationships/hyperlink" Target="experiments_30_09_2026/trial_161_LB_S6/viewer.html" TargetMode="External"/><Relationship Id="rId173" Type="http://schemas.openxmlformats.org/officeDocument/2006/relationships/hyperlink" Target="experiments_30_09_2026/trial_161_LB_S6/trial.mp4" TargetMode="External"/><Relationship Id="rId174" Type="http://schemas.openxmlformats.org/officeDocument/2006/relationships/hyperlink" Target="experiments_30_09_2026/trial_162_LB_S7" TargetMode="External"/><Relationship Id="rId175" Type="http://schemas.openxmlformats.org/officeDocument/2006/relationships/hyperlink" Target="experiments_30_09_2026/trial_162_LB_S7/viewer.html" TargetMode="External"/><Relationship Id="rId176" Type="http://schemas.openxmlformats.org/officeDocument/2006/relationships/hyperlink" Target="experiments_30_09_2026/trial_162_LB_S7/trial.mp4" TargetMode="External"/><Relationship Id="rId177" Type="http://schemas.openxmlformats.org/officeDocument/2006/relationships/hyperlink" Target="experiments_30_09_2026/trial_163_LB_S1" TargetMode="External"/><Relationship Id="rId178" Type="http://schemas.openxmlformats.org/officeDocument/2006/relationships/hyperlink" Target="experiments_30_09_2026/trial_163_LB_S1/trial.mp4" TargetMode="External"/><Relationship Id="rId179" Type="http://schemas.openxmlformats.org/officeDocument/2006/relationships/hyperlink" Target="experiments_30_09_2026/trial_164_LB_S2" TargetMode="External"/><Relationship Id="rId180" Type="http://schemas.openxmlformats.org/officeDocument/2006/relationships/hyperlink" Target="experiments_30_09_2026/trial_164_LB_S2/viewer.html" TargetMode="External"/><Relationship Id="rId181" Type="http://schemas.openxmlformats.org/officeDocument/2006/relationships/hyperlink" Target="experiments_30_09_2026/trial_164_LB_S2/trial.mp4" TargetMode="External"/><Relationship Id="rId182" Type="http://schemas.openxmlformats.org/officeDocument/2006/relationships/hyperlink" Target="experiments_30_09_2026/trial_166_LB_S3" TargetMode="External"/><Relationship Id="rId183" Type="http://schemas.openxmlformats.org/officeDocument/2006/relationships/hyperlink" Target="experiments_30_09_2026/trial_166_LB_S3/viewer.html" TargetMode="External"/><Relationship Id="rId184" Type="http://schemas.openxmlformats.org/officeDocument/2006/relationships/hyperlink" Target="experiments_30_09_2026/trial_166_LB_S3/trial.mp4" TargetMode="External"/><Relationship Id="rId185" Type="http://schemas.openxmlformats.org/officeDocument/2006/relationships/hyperlink" Target="experiments_30_09_2026/trial_167_LB_S4" TargetMode="External"/><Relationship Id="rId186" Type="http://schemas.openxmlformats.org/officeDocument/2006/relationships/hyperlink" Target="experiments_30_09_2026/trial_167_LB_S4/viewer.html" TargetMode="External"/><Relationship Id="rId187" Type="http://schemas.openxmlformats.org/officeDocument/2006/relationships/hyperlink" Target="experiments_30_09_2026/trial_167_LB_S4/trial.mp4" TargetMode="External"/><Relationship Id="rId188" Type="http://schemas.openxmlformats.org/officeDocument/2006/relationships/hyperlink" Target="experiments_30_09_2026/trial_168_LB_S5" TargetMode="External"/><Relationship Id="rId189" Type="http://schemas.openxmlformats.org/officeDocument/2006/relationships/hyperlink" Target="experiments_30_09_2026/trial_168_LB_S5/viewer.html" TargetMode="External"/><Relationship Id="rId190" Type="http://schemas.openxmlformats.org/officeDocument/2006/relationships/hyperlink" Target="experiments_30_09_2026/trial_168_LB_S5/trial.mp4" TargetMode="External"/><Relationship Id="rId191" Type="http://schemas.openxmlformats.org/officeDocument/2006/relationships/hyperlink" Target="experiments_30_09_2026/trial_169_LB_S6" TargetMode="External"/><Relationship Id="rId192" Type="http://schemas.openxmlformats.org/officeDocument/2006/relationships/hyperlink" Target="experiments_30_09_2026/trial_169_LB_S6/viewer.html" TargetMode="External"/><Relationship Id="rId193" Type="http://schemas.openxmlformats.org/officeDocument/2006/relationships/hyperlink" Target="experiments_30_09_2026/trial_169_LB_S6/trial.mp4" TargetMode="External"/><Relationship Id="rId194" Type="http://schemas.openxmlformats.org/officeDocument/2006/relationships/hyperlink" Target="experiments_30_09_2026/trial_170_LB_S6" TargetMode="External"/><Relationship Id="rId195" Type="http://schemas.openxmlformats.org/officeDocument/2006/relationships/hyperlink" Target="experiments_30_09_2026/trial_170_LB_S6/viewer.html" TargetMode="External"/><Relationship Id="rId196" Type="http://schemas.openxmlformats.org/officeDocument/2006/relationships/hyperlink" Target="experiments_30_09_2026/trial_170_LB_S6/trial.mp4" TargetMode="External"/><Relationship Id="rId197" Type="http://schemas.openxmlformats.org/officeDocument/2006/relationships/hyperlink" Target="experiments_30_09_2026/trial_171_LB_S7" TargetMode="External"/><Relationship Id="rId198" Type="http://schemas.openxmlformats.org/officeDocument/2006/relationships/hyperlink" Target="experiments_30_09_2026/trial_171_LB_S7/viewer.html" TargetMode="External"/><Relationship Id="rId199" Type="http://schemas.openxmlformats.org/officeDocument/2006/relationships/hyperlink" Target="experiments_30_09_2026/trial_171_LB_S7/trial.mp4" TargetMode="External"/><Relationship Id="rId200" Type="http://schemas.openxmlformats.org/officeDocument/2006/relationships/hyperlink" Target="experiments_30_09_2026/trial_172_LC_S1" TargetMode="External"/><Relationship Id="rId201" Type="http://schemas.openxmlformats.org/officeDocument/2006/relationships/hyperlink" Target="experiments_30_09_2026/trial_172_LC_S1/trial.mp4" TargetMode="External"/><Relationship Id="rId202" Type="http://schemas.openxmlformats.org/officeDocument/2006/relationships/hyperlink" Target="experiments_30_09_2026/trial_173_LC_S2" TargetMode="External"/><Relationship Id="rId203" Type="http://schemas.openxmlformats.org/officeDocument/2006/relationships/hyperlink" Target="experiments_30_09_2026/trial_173_LC_S2/trial.mp4" TargetMode="External"/><Relationship Id="rId204" Type="http://schemas.openxmlformats.org/officeDocument/2006/relationships/hyperlink" Target="experiments_30_09_2026/trial_174_LC_S3" TargetMode="External"/><Relationship Id="rId205" Type="http://schemas.openxmlformats.org/officeDocument/2006/relationships/hyperlink" Target="experiments_30_09_2026/trial_174_LC_S3/viewer.html" TargetMode="External"/><Relationship Id="rId206" Type="http://schemas.openxmlformats.org/officeDocument/2006/relationships/hyperlink" Target="experiments_30_09_2026/trial_174_LC_S3/trial.mp4" TargetMode="External"/><Relationship Id="rId207" Type="http://schemas.openxmlformats.org/officeDocument/2006/relationships/hyperlink" Target="experiments_01_10_2026/trial_175_LC_S1" TargetMode="External"/><Relationship Id="rId208" Type="http://schemas.openxmlformats.org/officeDocument/2006/relationships/hyperlink" Target="experiments_01_10_2026/trial_175_LC_S1/trial.mp4" TargetMode="External"/><Relationship Id="rId209" Type="http://schemas.openxmlformats.org/officeDocument/2006/relationships/hyperlink" Target="experiments_01_10_2026/trial_176_LC_S2" TargetMode="External"/><Relationship Id="rId210" Type="http://schemas.openxmlformats.org/officeDocument/2006/relationships/hyperlink" Target="experiments_01_10_2026/trial_176_LC_S2/trial.mp4" TargetMode="External"/><Relationship Id="rId211" Type="http://schemas.openxmlformats.org/officeDocument/2006/relationships/hyperlink" Target="experiments_01_10_2026/trial_178_LC_S4" TargetMode="External"/><Relationship Id="rId212" Type="http://schemas.openxmlformats.org/officeDocument/2006/relationships/hyperlink" Target="experiments_01_10_2026/trial_178_LC_S4/viewer.html" TargetMode="External"/><Relationship Id="rId213" Type="http://schemas.openxmlformats.org/officeDocument/2006/relationships/hyperlink" Target="experiments_01_10_2026/trial_178_LC_S4/trial.mp4" TargetMode="External"/><Relationship Id="rId214" Type="http://schemas.openxmlformats.org/officeDocument/2006/relationships/hyperlink" Target="experiments_01_10_2026/trial_180_LA_S4" TargetMode="External"/><Relationship Id="rId215" Type="http://schemas.openxmlformats.org/officeDocument/2006/relationships/hyperlink" Target="experiments_01_10_2026/trial_180_LA_S4/viewer.html" TargetMode="External"/><Relationship Id="rId216" Type="http://schemas.openxmlformats.org/officeDocument/2006/relationships/hyperlink" Target="experiments_01_10_2026/trial_180_LA_S4/trial.mp4" TargetMode="External"/><Relationship Id="rId217" Type="http://schemas.openxmlformats.org/officeDocument/2006/relationships/hyperlink" Target="experiments_01_10_2026/trial_181_LA_S5" TargetMode="External"/><Relationship Id="rId218" Type="http://schemas.openxmlformats.org/officeDocument/2006/relationships/hyperlink" Target="experiments_01_10_2026/trial_181_LA_S5/viewer.html" TargetMode="External"/><Relationship Id="rId219" Type="http://schemas.openxmlformats.org/officeDocument/2006/relationships/hyperlink" Target="experiments_01_10_2026/trial_181_LA_S5/trial.mp4" TargetMode="External"/><Relationship Id="rId220" Type="http://schemas.openxmlformats.org/officeDocument/2006/relationships/hyperlink" Target="experiments_01_10_2026/trial_182_LC_S6" TargetMode="External"/><Relationship Id="rId221" Type="http://schemas.openxmlformats.org/officeDocument/2006/relationships/hyperlink" Target="experiments_01_10_2026/trial_182_LC_S6/viewer.html" TargetMode="External"/><Relationship Id="rId222" Type="http://schemas.openxmlformats.org/officeDocument/2006/relationships/hyperlink" Target="experiments_01_10_2026/trial_182_LC_S6/trial.mp4" TargetMode="External"/><Relationship Id="rId223" Type="http://schemas.openxmlformats.org/officeDocument/2006/relationships/hyperlink" Target="experiments_01_10_2026/trial_183_LC_S7" TargetMode="External"/><Relationship Id="rId224" Type="http://schemas.openxmlformats.org/officeDocument/2006/relationships/hyperlink" Target="experiments_01_10_2026/trial_183_LC_S7/viewer.html" TargetMode="External"/><Relationship Id="rId225" Type="http://schemas.openxmlformats.org/officeDocument/2006/relationships/hyperlink" Target="experiments_01_10_2026/trial_183_LC_S7/trial.mp4" TargetMode="External"/><Relationship Id="rId226" Type="http://schemas.openxmlformats.org/officeDocument/2006/relationships/hyperlink" Target="experiments_01_10_2026/trial_184_LC_S1" TargetMode="External"/><Relationship Id="rId227" Type="http://schemas.openxmlformats.org/officeDocument/2006/relationships/hyperlink" Target="experiments_01_10_2026/trial_184_LC_S1/trial.mp4" TargetMode="External"/><Relationship Id="rId228" Type="http://schemas.openxmlformats.org/officeDocument/2006/relationships/hyperlink" Target="experiments_01_10_2026/trial_177_LC_S3" TargetMode="External"/><Relationship Id="rId229" Type="http://schemas.openxmlformats.org/officeDocument/2006/relationships/hyperlink" Target="experiments_01_10_2026/trial_177_LC_S3/viewer.html" TargetMode="External"/><Relationship Id="rId230" Type="http://schemas.openxmlformats.org/officeDocument/2006/relationships/hyperlink" Target="experiments_01_10_2026/trial_177_LC_S3/trial.mp4" TargetMode="External"/><Relationship Id="rId231" Type="http://schemas.openxmlformats.org/officeDocument/2006/relationships/hyperlink" Target="experiments_01_10_2026/trial_186_LC_S2" TargetMode="External"/><Relationship Id="rId232" Type="http://schemas.openxmlformats.org/officeDocument/2006/relationships/hyperlink" Target="experiments_01_10_2026/trial_186_LC_S2/trial.mp4" TargetMode="External"/><Relationship Id="rId233" Type="http://schemas.openxmlformats.org/officeDocument/2006/relationships/hyperlink" Target="experiments_01_10_2026/trial_187_LA_S3" TargetMode="External"/><Relationship Id="rId234" Type="http://schemas.openxmlformats.org/officeDocument/2006/relationships/hyperlink" Target="experiments_01_10_2026/trial_187_LA_S3/viewer.html" TargetMode="External"/><Relationship Id="rId235" Type="http://schemas.openxmlformats.org/officeDocument/2006/relationships/hyperlink" Target="experiments_01_10_2026/trial_187_LA_S3/trial.mp4" TargetMode="External"/><Relationship Id="rId236" Type="http://schemas.openxmlformats.org/officeDocument/2006/relationships/drawing" Target="../drawings/drawing1.xml"/><Relationship Id="rId237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38" activePane="bottomRight" state="frozen"/>
      <selection pane="topLeft" activeCell="A1" activeCellId="0" sqref="A1"/>
      <selection pane="topRight" activeCell="C1" activeCellId="0" sqref="C1"/>
      <selection pane="bottomLeft" activeCell="A38" activeCellId="0" sqref="A38"/>
      <selection pane="bottomRight" activeCell="B61" activeCellId="0" sqref="B6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34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36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7" min="12" style="1" width="12"/>
    <col collapsed="false" customWidth="true" hidden="false" outlineLevel="0" max="18" min="18" style="1" width="11"/>
    <col collapsed="false" customWidth="true" hidden="false" outlineLevel="0" max="19" min="19" style="1" width="10"/>
    <col collapsed="false" customWidth="true" hidden="false" outlineLevel="0" max="20" min="20" style="1" width="30"/>
    <col collapsed="false" customWidth="true" hidden="false" outlineLevel="0" max="21" min="21" style="1" width="11"/>
    <col collapsed="false" customWidth="true" hidden="false" outlineLevel="0" max="22" min="22" style="1" width="13"/>
    <col collapsed="false" customWidth="true" hidden="false" outlineLevel="0" max="23" min="23" style="1" width="11"/>
    <col collapsed="false" customWidth="true" hidden="false" outlineLevel="0" max="24" min="24" style="1" width="10"/>
    <col collapsed="false" customWidth="true" hidden="false" outlineLevel="0" max="25" min="25" style="1" width="11"/>
    <col collapsed="false" customWidth="true" hidden="false" outlineLevel="0" max="26" min="26" style="1" width="10"/>
    <col collapsed="false" customWidth="true" hidden="false" outlineLevel="0" max="27" min="27" style="1" width="12"/>
    <col collapsed="false" customWidth="true" hidden="false" outlineLevel="0" max="28" min="28" style="1" width="11"/>
    <col collapsed="false" customWidth="true" hidden="false" outlineLevel="0" max="30" min="29" style="1" width="10"/>
    <col collapsed="false" customWidth="true" hidden="false" outlineLevel="0" max="31" min="31" style="1" width="30"/>
    <col collapsed="false" customWidth="true" hidden="false" outlineLevel="0" max="32" min="32" style="1" width="10"/>
    <col collapsed="false" customWidth="true" hidden="false" outlineLevel="0" max="33" min="33" style="1" width="26"/>
    <col collapsed="false" customWidth="true" hidden="false" outlineLevel="0" max="35" min="34" style="1" width="10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15" hidden="false" customHeight="true" outlineLevel="0" collapsed="false">
      <c r="A2" s="3" t="s">
        <v>35</v>
      </c>
      <c r="B2" s="4" t="s">
        <v>36</v>
      </c>
      <c r="C2" s="4"/>
      <c r="D2" s="4" t="s">
        <v>37</v>
      </c>
      <c r="E2" s="4" t="s">
        <v>38</v>
      </c>
      <c r="F2" s="4" t="s">
        <v>39</v>
      </c>
      <c r="G2" s="4" t="s">
        <v>40</v>
      </c>
      <c r="H2" s="4"/>
      <c r="I2" s="4" t="s">
        <v>41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 t="s">
        <v>42</v>
      </c>
      <c r="V2" s="4"/>
      <c r="W2" s="4"/>
      <c r="X2" s="4"/>
      <c r="Y2" s="4"/>
      <c r="Z2" s="4"/>
      <c r="AA2" s="4"/>
      <c r="AB2" s="4"/>
      <c r="AC2" s="4"/>
      <c r="AD2" s="4" t="s">
        <v>43</v>
      </c>
      <c r="AE2" s="4"/>
      <c r="AF2" s="4"/>
      <c r="AG2" s="5" t="s">
        <v>44</v>
      </c>
      <c r="AI2" s="5" t="s">
        <v>45</v>
      </c>
    </row>
    <row r="3" customFormat="false" ht="15" hidden="false" customHeight="true" outlineLevel="0" collapsed="false">
      <c r="A3" s="3" t="s">
        <v>46</v>
      </c>
      <c r="B3" s="4" t="s">
        <v>36</v>
      </c>
      <c r="C3" s="4"/>
      <c r="D3" s="4" t="s">
        <v>37</v>
      </c>
      <c r="E3" s="4" t="s">
        <v>47</v>
      </c>
      <c r="F3" s="4" t="s">
        <v>48</v>
      </c>
      <c r="G3" s="4" t="s">
        <v>40</v>
      </c>
      <c r="H3" s="4"/>
      <c r="I3" s="4" t="s">
        <v>49</v>
      </c>
      <c r="J3" s="4" t="s">
        <v>50</v>
      </c>
      <c r="K3" s="4" t="s">
        <v>51</v>
      </c>
      <c r="L3" s="4"/>
      <c r="M3" s="4"/>
      <c r="N3" s="4"/>
      <c r="O3" s="4"/>
      <c r="P3" s="4"/>
      <c r="Q3" s="4"/>
      <c r="R3" s="4"/>
      <c r="S3" s="4"/>
      <c r="T3" s="4"/>
      <c r="U3" s="4" t="s">
        <v>42</v>
      </c>
      <c r="V3" s="4"/>
      <c r="W3" s="4"/>
      <c r="X3" s="4"/>
      <c r="Y3" s="4"/>
      <c r="Z3" s="4"/>
      <c r="AA3" s="4"/>
      <c r="AB3" s="4"/>
      <c r="AC3" s="4"/>
      <c r="AD3" s="4" t="s">
        <v>43</v>
      </c>
      <c r="AE3" s="4"/>
      <c r="AF3" s="4"/>
      <c r="AG3" s="5" t="s">
        <v>52</v>
      </c>
      <c r="AI3" s="5" t="s">
        <v>45</v>
      </c>
    </row>
    <row r="4" customFormat="false" ht="15" hidden="false" customHeight="true" outlineLevel="0" collapsed="false">
      <c r="A4" s="3" t="s">
        <v>53</v>
      </c>
      <c r="B4" s="4" t="s">
        <v>36</v>
      </c>
      <c r="C4" s="4"/>
      <c r="D4" s="4" t="s">
        <v>37</v>
      </c>
      <c r="E4" s="4" t="s">
        <v>54</v>
      </c>
      <c r="F4" s="4" t="s">
        <v>55</v>
      </c>
      <c r="G4" s="4" t="s">
        <v>40</v>
      </c>
      <c r="H4" s="4"/>
      <c r="I4" s="4" t="s">
        <v>56</v>
      </c>
      <c r="J4" s="4" t="s">
        <v>50</v>
      </c>
      <c r="K4" s="4" t="s">
        <v>57</v>
      </c>
      <c r="L4" s="4" t="s">
        <v>58</v>
      </c>
      <c r="M4" s="4" t="s">
        <v>58</v>
      </c>
      <c r="N4" s="4" t="s">
        <v>58</v>
      </c>
      <c r="O4" s="4" t="s">
        <v>58</v>
      </c>
      <c r="P4" s="4" t="s">
        <v>58</v>
      </c>
      <c r="Q4" s="4" t="s">
        <v>58</v>
      </c>
      <c r="R4" s="6" t="n">
        <v>5.21</v>
      </c>
      <c r="S4" s="6" t="n">
        <v>45.08</v>
      </c>
      <c r="T4" s="4"/>
      <c r="U4" s="4" t="s">
        <v>42</v>
      </c>
      <c r="V4" s="4" t="s">
        <v>59</v>
      </c>
      <c r="W4" s="4" t="s">
        <v>58</v>
      </c>
      <c r="X4" s="4" t="s">
        <v>60</v>
      </c>
      <c r="Y4" s="4" t="s">
        <v>58</v>
      </c>
      <c r="Z4" s="4" t="s">
        <v>61</v>
      </c>
      <c r="AA4" s="6" t="n">
        <v>32.542</v>
      </c>
      <c r="AB4" s="6" t="n">
        <v>21.106</v>
      </c>
      <c r="AC4" s="6" t="n">
        <v>23.974</v>
      </c>
      <c r="AD4" s="4" t="s">
        <v>43</v>
      </c>
      <c r="AE4" s="4" t="s">
        <v>62</v>
      </c>
      <c r="AF4" s="4" t="s">
        <v>63</v>
      </c>
      <c r="AG4" s="5" t="s">
        <v>64</v>
      </c>
      <c r="AH4" s="5" t="s">
        <v>65</v>
      </c>
      <c r="AI4" s="5" t="s">
        <v>45</v>
      </c>
    </row>
    <row r="5" customFormat="false" ht="15" hidden="false" customHeight="true" outlineLevel="0" collapsed="false">
      <c r="A5" s="3" t="s">
        <v>66</v>
      </c>
      <c r="B5" s="4" t="s">
        <v>36</v>
      </c>
      <c r="C5" s="4"/>
      <c r="D5" s="4" t="s">
        <v>37</v>
      </c>
      <c r="E5" s="4" t="s">
        <v>67</v>
      </c>
      <c r="F5" s="4" t="s">
        <v>68</v>
      </c>
      <c r="G5" s="4" t="s">
        <v>40</v>
      </c>
      <c r="H5" s="4"/>
      <c r="I5" s="4" t="s">
        <v>69</v>
      </c>
      <c r="J5" s="4" t="s">
        <v>70</v>
      </c>
      <c r="K5" s="4" t="s">
        <v>71</v>
      </c>
      <c r="L5" s="4" t="s">
        <v>58</v>
      </c>
      <c r="M5" s="4" t="s">
        <v>58</v>
      </c>
      <c r="N5" s="4" t="s">
        <v>58</v>
      </c>
      <c r="O5" s="4" t="s">
        <v>58</v>
      </c>
      <c r="P5" s="4" t="s">
        <v>58</v>
      </c>
      <c r="Q5" s="4" t="s">
        <v>58</v>
      </c>
      <c r="R5" s="6" t="n">
        <v>11.901</v>
      </c>
      <c r="S5" s="6" t="n">
        <v>49.555</v>
      </c>
      <c r="T5" s="4"/>
      <c r="U5" s="4" t="s">
        <v>42</v>
      </c>
      <c r="V5" s="4" t="s">
        <v>59</v>
      </c>
      <c r="W5" s="4" t="s">
        <v>58</v>
      </c>
      <c r="X5" s="4" t="s">
        <v>60</v>
      </c>
      <c r="Y5" s="4" t="s">
        <v>58</v>
      </c>
      <c r="Z5" s="4" t="s">
        <v>72</v>
      </c>
      <c r="AA5" s="6" t="n">
        <v>37.421</v>
      </c>
      <c r="AB5" s="6" t="n">
        <v>22.598</v>
      </c>
      <c r="AC5" s="6" t="n">
        <v>26.957</v>
      </c>
      <c r="AD5" s="4" t="s">
        <v>43</v>
      </c>
      <c r="AE5" s="4" t="s">
        <v>73</v>
      </c>
      <c r="AF5" s="4" t="s">
        <v>63</v>
      </c>
      <c r="AG5" s="5" t="s">
        <v>74</v>
      </c>
      <c r="AH5" s="5" t="s">
        <v>65</v>
      </c>
      <c r="AI5" s="5" t="s">
        <v>45</v>
      </c>
    </row>
    <row r="6" customFormat="false" ht="15" hidden="false" customHeight="true" outlineLevel="0" collapsed="false">
      <c r="A6" s="3" t="s">
        <v>75</v>
      </c>
      <c r="B6" s="4" t="s">
        <v>36</v>
      </c>
      <c r="C6" s="4"/>
      <c r="D6" s="4" t="s">
        <v>37</v>
      </c>
      <c r="E6" s="4" t="s">
        <v>76</v>
      </c>
      <c r="F6" s="4" t="s">
        <v>77</v>
      </c>
      <c r="G6" s="4" t="s">
        <v>40</v>
      </c>
      <c r="H6" s="4"/>
      <c r="I6" s="4" t="s">
        <v>69</v>
      </c>
      <c r="J6" s="4" t="s">
        <v>78</v>
      </c>
      <c r="K6" s="4" t="s">
        <v>57</v>
      </c>
      <c r="L6" s="4" t="s">
        <v>58</v>
      </c>
      <c r="M6" s="4" t="s">
        <v>58</v>
      </c>
      <c r="N6" s="4" t="s">
        <v>58</v>
      </c>
      <c r="O6" s="4" t="s">
        <v>58</v>
      </c>
      <c r="P6" s="4" t="s">
        <v>58</v>
      </c>
      <c r="Q6" s="4" t="s">
        <v>58</v>
      </c>
      <c r="R6" s="6" t="n">
        <v>10.304</v>
      </c>
      <c r="S6" s="6" t="n">
        <v>49.439</v>
      </c>
      <c r="T6" s="4"/>
      <c r="U6" s="4" t="s">
        <v>42</v>
      </c>
      <c r="V6" s="4" t="s">
        <v>59</v>
      </c>
      <c r="W6" s="4" t="s">
        <v>58</v>
      </c>
      <c r="X6" s="4" t="s">
        <v>60</v>
      </c>
      <c r="Y6" s="4" t="s">
        <v>58</v>
      </c>
      <c r="Z6" s="4" t="s">
        <v>79</v>
      </c>
      <c r="AA6" s="6" t="n">
        <v>37.947</v>
      </c>
      <c r="AB6" s="6" t="n">
        <v>19.917</v>
      </c>
      <c r="AC6" s="6" t="n">
        <v>29.522</v>
      </c>
      <c r="AD6" s="4" t="s">
        <v>43</v>
      </c>
      <c r="AE6" s="4" t="s">
        <v>80</v>
      </c>
      <c r="AF6" s="4" t="s">
        <v>63</v>
      </c>
      <c r="AG6" s="5" t="s">
        <v>81</v>
      </c>
      <c r="AH6" s="5" t="s">
        <v>65</v>
      </c>
      <c r="AI6" s="5" t="s">
        <v>45</v>
      </c>
    </row>
    <row r="7" customFormat="false" ht="15" hidden="false" customHeight="true" outlineLevel="0" collapsed="false">
      <c r="A7" s="3" t="s">
        <v>82</v>
      </c>
      <c r="B7" s="4" t="s">
        <v>36</v>
      </c>
      <c r="C7" s="4"/>
      <c r="D7" s="4" t="s">
        <v>37</v>
      </c>
      <c r="E7" s="7" t="s">
        <v>83</v>
      </c>
      <c r="F7" s="7" t="s">
        <v>84</v>
      </c>
      <c r="G7" s="4" t="s">
        <v>40</v>
      </c>
      <c r="H7" s="4" t="s">
        <v>85</v>
      </c>
      <c r="I7" s="4" t="s">
        <v>86</v>
      </c>
      <c r="J7" s="4" t="s">
        <v>50</v>
      </c>
      <c r="K7" s="4" t="s">
        <v>57</v>
      </c>
      <c r="L7" s="4" t="s">
        <v>58</v>
      </c>
      <c r="M7" s="4" t="s">
        <v>58</v>
      </c>
      <c r="N7" s="4" t="s">
        <v>58</v>
      </c>
      <c r="O7" s="4" t="s">
        <v>58</v>
      </c>
      <c r="P7" s="4" t="s">
        <v>58</v>
      </c>
      <c r="Q7" s="4" t="s">
        <v>58</v>
      </c>
      <c r="R7" s="6" t="n">
        <v>0.511</v>
      </c>
      <c r="S7" s="6" t="n">
        <v>47.072</v>
      </c>
      <c r="T7" s="4"/>
      <c r="U7" s="4" t="s">
        <v>87</v>
      </c>
      <c r="V7" s="4"/>
      <c r="W7" s="4" t="s">
        <v>58</v>
      </c>
      <c r="X7" s="4" t="s">
        <v>60</v>
      </c>
      <c r="Y7" s="4" t="s">
        <v>58</v>
      </c>
      <c r="Z7" s="4" t="s">
        <v>88</v>
      </c>
      <c r="AA7" s="6" t="n">
        <v>39.692</v>
      </c>
      <c r="AB7" s="6" t="n">
        <v>28.371</v>
      </c>
      <c r="AC7" s="6" t="n">
        <v>18.701</v>
      </c>
      <c r="AD7" s="4" t="s">
        <v>43</v>
      </c>
      <c r="AE7" s="4" t="s">
        <v>62</v>
      </c>
      <c r="AF7" s="4" t="s">
        <v>63</v>
      </c>
      <c r="AG7" s="5" t="s">
        <v>89</v>
      </c>
      <c r="AH7" s="5" t="s">
        <v>65</v>
      </c>
      <c r="AI7" s="5" t="s">
        <v>45</v>
      </c>
    </row>
    <row r="8" customFormat="false" ht="15" hidden="false" customHeight="true" outlineLevel="0" collapsed="false">
      <c r="A8" s="3" t="s">
        <v>90</v>
      </c>
      <c r="B8" s="4" t="s">
        <v>36</v>
      </c>
      <c r="C8" s="4"/>
      <c r="D8" s="4" t="s">
        <v>37</v>
      </c>
      <c r="E8" s="4" t="s">
        <v>38</v>
      </c>
      <c r="F8" s="4" t="s">
        <v>39</v>
      </c>
      <c r="G8" s="4" t="s">
        <v>40</v>
      </c>
      <c r="H8" s="4"/>
      <c r="I8" s="4" t="s">
        <v>91</v>
      </c>
      <c r="J8" s="4" t="s">
        <v>51</v>
      </c>
      <c r="K8" s="4" t="s">
        <v>51</v>
      </c>
      <c r="L8" s="4"/>
      <c r="M8" s="4"/>
      <c r="N8" s="4"/>
      <c r="O8" s="4"/>
      <c r="P8" s="4"/>
      <c r="Q8" s="4"/>
      <c r="R8" s="4"/>
      <c r="S8" s="4"/>
      <c r="T8" s="4"/>
      <c r="U8" s="4" t="s">
        <v>42</v>
      </c>
      <c r="V8" s="4"/>
      <c r="W8" s="4"/>
      <c r="X8" s="4"/>
      <c r="Y8" s="4"/>
      <c r="Z8" s="4"/>
      <c r="AA8" s="4"/>
      <c r="AB8" s="4"/>
      <c r="AC8" s="4"/>
      <c r="AD8" s="4" t="s">
        <v>43</v>
      </c>
      <c r="AE8" s="4"/>
      <c r="AF8" s="4"/>
      <c r="AG8" s="5" t="s">
        <v>92</v>
      </c>
      <c r="AI8" s="5" t="s">
        <v>45</v>
      </c>
    </row>
    <row r="9" customFormat="false" ht="15" hidden="false" customHeight="true" outlineLevel="0" collapsed="false">
      <c r="A9" s="3" t="s">
        <v>93</v>
      </c>
      <c r="B9" s="4" t="s">
        <v>36</v>
      </c>
      <c r="C9" s="4"/>
      <c r="D9" s="4" t="s">
        <v>37</v>
      </c>
      <c r="E9" s="4" t="s">
        <v>47</v>
      </c>
      <c r="F9" s="4" t="s">
        <v>48</v>
      </c>
      <c r="G9" s="4" t="s">
        <v>40</v>
      </c>
      <c r="H9" s="4"/>
      <c r="I9" s="4" t="s">
        <v>94</v>
      </c>
      <c r="J9" s="4" t="s">
        <v>95</v>
      </c>
      <c r="K9" s="4" t="s">
        <v>51</v>
      </c>
      <c r="L9" s="4" t="s">
        <v>58</v>
      </c>
      <c r="M9" s="4" t="s">
        <v>58</v>
      </c>
      <c r="N9" s="4"/>
      <c r="O9" s="4"/>
      <c r="P9" s="4"/>
      <c r="Q9" s="4"/>
      <c r="R9" s="4"/>
      <c r="S9" s="4"/>
      <c r="T9" s="4"/>
      <c r="U9" s="4" t="s">
        <v>42</v>
      </c>
      <c r="V9" s="4"/>
      <c r="W9" s="4"/>
      <c r="X9" s="4"/>
      <c r="Y9" s="4"/>
      <c r="Z9" s="4"/>
      <c r="AA9" s="4"/>
      <c r="AB9" s="4"/>
      <c r="AC9" s="4"/>
      <c r="AD9" s="4" t="s">
        <v>43</v>
      </c>
      <c r="AE9" s="4"/>
      <c r="AF9" s="4"/>
      <c r="AG9" s="5" t="s">
        <v>96</v>
      </c>
      <c r="AI9" s="5" t="s">
        <v>45</v>
      </c>
    </row>
    <row r="10" customFormat="false" ht="15" hidden="false" customHeight="true" outlineLevel="0" collapsed="false">
      <c r="A10" s="3" t="s">
        <v>97</v>
      </c>
      <c r="B10" s="4" t="s">
        <v>36</v>
      </c>
      <c r="C10" s="4"/>
      <c r="D10" s="4" t="s">
        <v>37</v>
      </c>
      <c r="E10" s="4" t="s">
        <v>54</v>
      </c>
      <c r="F10" s="4" t="s">
        <v>55</v>
      </c>
      <c r="G10" s="4" t="s">
        <v>40</v>
      </c>
      <c r="H10" s="4"/>
      <c r="I10" s="4" t="s">
        <v>98</v>
      </c>
      <c r="J10" s="4" t="s">
        <v>99</v>
      </c>
      <c r="K10" s="4" t="s">
        <v>71</v>
      </c>
      <c r="L10" s="4" t="s">
        <v>58</v>
      </c>
      <c r="M10" s="4" t="s">
        <v>58</v>
      </c>
      <c r="N10" s="4" t="s">
        <v>58</v>
      </c>
      <c r="O10" s="4" t="s">
        <v>58</v>
      </c>
      <c r="P10" s="4" t="s">
        <v>58</v>
      </c>
      <c r="Q10" s="4" t="s">
        <v>58</v>
      </c>
      <c r="R10" s="6" t="n">
        <v>4.194</v>
      </c>
      <c r="S10" s="6" t="n">
        <v>39.212</v>
      </c>
      <c r="T10" s="4"/>
      <c r="U10" s="4" t="s">
        <v>42</v>
      </c>
      <c r="V10" s="4" t="s">
        <v>100</v>
      </c>
      <c r="W10" s="4" t="s">
        <v>58</v>
      </c>
      <c r="X10" s="4" t="s">
        <v>60</v>
      </c>
      <c r="Y10" s="4" t="s">
        <v>58</v>
      </c>
      <c r="Z10" s="4" t="s">
        <v>101</v>
      </c>
      <c r="AA10" s="6" t="n">
        <v>29.932</v>
      </c>
      <c r="AB10" s="6" t="n">
        <v>20.712</v>
      </c>
      <c r="AC10" s="6" t="n">
        <v>18.5</v>
      </c>
      <c r="AD10" s="4" t="s">
        <v>43</v>
      </c>
      <c r="AE10" s="4" t="s">
        <v>102</v>
      </c>
      <c r="AF10" s="4" t="s">
        <v>63</v>
      </c>
      <c r="AG10" s="5" t="s">
        <v>103</v>
      </c>
      <c r="AH10" s="5" t="s">
        <v>65</v>
      </c>
      <c r="AI10" s="5" t="s">
        <v>45</v>
      </c>
    </row>
    <row r="11" customFormat="false" ht="15" hidden="false" customHeight="true" outlineLevel="0" collapsed="false">
      <c r="A11" s="3" t="s">
        <v>104</v>
      </c>
      <c r="B11" s="4" t="s">
        <v>36</v>
      </c>
      <c r="C11" s="4"/>
      <c r="D11" s="4" t="s">
        <v>37</v>
      </c>
      <c r="E11" s="4" t="s">
        <v>76</v>
      </c>
      <c r="F11" s="4" t="s">
        <v>77</v>
      </c>
      <c r="G11" s="4" t="s">
        <v>40</v>
      </c>
      <c r="H11" s="4" t="s">
        <v>85</v>
      </c>
      <c r="I11" s="4" t="s">
        <v>105</v>
      </c>
      <c r="J11" s="4" t="s">
        <v>70</v>
      </c>
      <c r="K11" s="4" t="s">
        <v>57</v>
      </c>
      <c r="L11" s="4" t="s">
        <v>58</v>
      </c>
      <c r="M11" s="4" t="s">
        <v>58</v>
      </c>
      <c r="N11" s="4" t="s">
        <v>58</v>
      </c>
      <c r="O11" s="4" t="s">
        <v>58</v>
      </c>
      <c r="P11" s="4" t="s">
        <v>58</v>
      </c>
      <c r="Q11" s="4" t="s">
        <v>58</v>
      </c>
      <c r="R11" s="6" t="n">
        <v>12.254</v>
      </c>
      <c r="S11" s="6" t="n">
        <v>44.393</v>
      </c>
      <c r="T11" s="4"/>
      <c r="U11" s="4" t="s">
        <v>42</v>
      </c>
      <c r="V11" s="4" t="s">
        <v>100</v>
      </c>
      <c r="W11" s="4" t="s">
        <v>58</v>
      </c>
      <c r="X11" s="4" t="s">
        <v>60</v>
      </c>
      <c r="Y11" s="4" t="s">
        <v>106</v>
      </c>
      <c r="Z11" s="4" t="s">
        <v>107</v>
      </c>
      <c r="AA11" s="6" t="n">
        <v>39.29</v>
      </c>
      <c r="AB11" s="6" t="n">
        <v>16.688</v>
      </c>
      <c r="AC11" s="6" t="n">
        <v>27.705</v>
      </c>
      <c r="AD11" s="4" t="s">
        <v>43</v>
      </c>
      <c r="AE11" s="4" t="s">
        <v>80</v>
      </c>
      <c r="AF11" s="4" t="s">
        <v>63</v>
      </c>
      <c r="AG11" s="5" t="s">
        <v>108</v>
      </c>
      <c r="AH11" s="5" t="s">
        <v>65</v>
      </c>
      <c r="AI11" s="5" t="s">
        <v>45</v>
      </c>
    </row>
    <row r="12" customFormat="false" ht="15" hidden="false" customHeight="true" outlineLevel="0" collapsed="false">
      <c r="A12" s="3" t="s">
        <v>109</v>
      </c>
      <c r="B12" s="4" t="s">
        <v>36</v>
      </c>
      <c r="C12" s="4"/>
      <c r="D12" s="4" t="s">
        <v>37</v>
      </c>
      <c r="E12" s="4" t="s">
        <v>67</v>
      </c>
      <c r="F12" s="4" t="s">
        <v>68</v>
      </c>
      <c r="G12" s="4" t="s">
        <v>40</v>
      </c>
      <c r="H12" s="4"/>
      <c r="I12" s="4" t="s">
        <v>69</v>
      </c>
      <c r="J12" s="4" t="s">
        <v>78</v>
      </c>
      <c r="K12" s="4" t="s">
        <v>110</v>
      </c>
      <c r="L12" s="4" t="s">
        <v>58</v>
      </c>
      <c r="M12" s="4" t="s">
        <v>58</v>
      </c>
      <c r="N12" s="4" t="s">
        <v>58</v>
      </c>
      <c r="O12" s="4" t="s">
        <v>58</v>
      </c>
      <c r="P12" s="4" t="s">
        <v>58</v>
      </c>
      <c r="Q12" s="4" t="s">
        <v>58</v>
      </c>
      <c r="R12" s="6" t="n">
        <v>12.069</v>
      </c>
      <c r="S12" s="6" t="n">
        <v>40.616</v>
      </c>
      <c r="T12" s="4"/>
      <c r="U12" s="4" t="s">
        <v>42</v>
      </c>
      <c r="V12" s="4" t="s">
        <v>59</v>
      </c>
      <c r="W12" s="4" t="s">
        <v>58</v>
      </c>
      <c r="X12" s="4" t="s">
        <v>60</v>
      </c>
      <c r="Y12" s="4" t="s">
        <v>58</v>
      </c>
      <c r="Z12" s="4" t="s">
        <v>111</v>
      </c>
      <c r="AA12" s="6" t="n">
        <v>38.474</v>
      </c>
      <c r="AB12" s="6" t="n">
        <v>14.79</v>
      </c>
      <c r="AC12" s="6" t="n">
        <v>25.826</v>
      </c>
      <c r="AD12" s="4" t="s">
        <v>43</v>
      </c>
      <c r="AE12" s="4" t="s">
        <v>112</v>
      </c>
      <c r="AF12" s="4" t="s">
        <v>63</v>
      </c>
      <c r="AG12" s="5" t="s">
        <v>113</v>
      </c>
      <c r="AH12" s="5" t="s">
        <v>65</v>
      </c>
      <c r="AI12" s="5" t="s">
        <v>45</v>
      </c>
    </row>
    <row r="13" customFormat="false" ht="15" hidden="false" customHeight="true" outlineLevel="0" collapsed="false">
      <c r="A13" s="8" t="s">
        <v>114</v>
      </c>
      <c r="B13" s="9" t="s">
        <v>36</v>
      </c>
      <c r="C13" s="9"/>
      <c r="D13" s="9" t="s">
        <v>37</v>
      </c>
      <c r="E13" s="9" t="s">
        <v>54</v>
      </c>
      <c r="F13" s="9" t="s">
        <v>55</v>
      </c>
      <c r="G13" s="9" t="s">
        <v>40</v>
      </c>
      <c r="H13" s="4"/>
      <c r="I13" s="4" t="s">
        <v>115</v>
      </c>
      <c r="J13" s="4" t="s">
        <v>99</v>
      </c>
      <c r="K13" s="4" t="s">
        <v>51</v>
      </c>
      <c r="L13" s="4"/>
      <c r="M13" s="4"/>
      <c r="N13" s="4"/>
      <c r="O13" s="4"/>
      <c r="P13" s="4"/>
      <c r="Q13" s="4"/>
      <c r="R13" s="6" t="n">
        <v>2.966</v>
      </c>
      <c r="S13" s="6" t="n">
        <v>42.285</v>
      </c>
      <c r="T13" s="4"/>
      <c r="U13" s="4" t="s">
        <v>42</v>
      </c>
      <c r="V13" s="4" t="s">
        <v>59</v>
      </c>
      <c r="W13" s="4" t="s">
        <v>58</v>
      </c>
      <c r="X13" s="4" t="s">
        <v>60</v>
      </c>
      <c r="Y13" s="4" t="s">
        <v>58</v>
      </c>
      <c r="Z13" s="4" t="s">
        <v>116</v>
      </c>
      <c r="AA13" s="6" t="n">
        <v>25.188</v>
      </c>
      <c r="AB13" s="6" t="n">
        <v>21.286</v>
      </c>
      <c r="AC13" s="6" t="n">
        <v>20.999</v>
      </c>
      <c r="AD13" s="4" t="s">
        <v>43</v>
      </c>
      <c r="AE13" s="4" t="s">
        <v>102</v>
      </c>
      <c r="AF13" s="4" t="s">
        <v>63</v>
      </c>
      <c r="AG13" s="5" t="s">
        <v>117</v>
      </c>
      <c r="AH13" s="5" t="s">
        <v>65</v>
      </c>
      <c r="AI13" s="5" t="s">
        <v>45</v>
      </c>
    </row>
    <row r="14" customFormat="false" ht="15" hidden="false" customHeight="true" outlineLevel="0" collapsed="false">
      <c r="A14" s="3" t="s">
        <v>118</v>
      </c>
      <c r="B14" s="4" t="s">
        <v>36</v>
      </c>
      <c r="C14" s="4"/>
      <c r="D14" s="4" t="s">
        <v>37</v>
      </c>
      <c r="E14" s="4" t="s">
        <v>54</v>
      </c>
      <c r="F14" s="4" t="s">
        <v>55</v>
      </c>
      <c r="G14" s="4" t="s">
        <v>40</v>
      </c>
      <c r="H14" s="4"/>
      <c r="I14" s="4" t="s">
        <v>119</v>
      </c>
      <c r="J14" s="4" t="s">
        <v>50</v>
      </c>
      <c r="K14" s="4" t="s">
        <v>110</v>
      </c>
      <c r="L14" s="4" t="s">
        <v>58</v>
      </c>
      <c r="M14" s="4" t="s">
        <v>58</v>
      </c>
      <c r="N14" s="4" t="s">
        <v>58</v>
      </c>
      <c r="O14" s="4" t="s">
        <v>58</v>
      </c>
      <c r="P14" s="4" t="s">
        <v>58</v>
      </c>
      <c r="Q14" s="4" t="s">
        <v>58</v>
      </c>
      <c r="R14" s="6" t="n">
        <v>6.371</v>
      </c>
      <c r="S14" s="6" t="n">
        <v>33.524</v>
      </c>
      <c r="T14" s="4"/>
      <c r="U14" s="4" t="s">
        <v>42</v>
      </c>
      <c r="V14" s="4" t="s">
        <v>100</v>
      </c>
      <c r="W14" s="4" t="s">
        <v>58</v>
      </c>
      <c r="X14" s="4" t="s">
        <v>60</v>
      </c>
      <c r="Y14" s="4" t="s">
        <v>58</v>
      </c>
      <c r="Z14" s="4" t="s">
        <v>120</v>
      </c>
      <c r="AA14" s="6" t="n">
        <v>33.765</v>
      </c>
      <c r="AB14" s="6" t="n">
        <v>15.565</v>
      </c>
      <c r="AC14" s="6" t="n">
        <v>17.959</v>
      </c>
      <c r="AD14" s="4" t="s">
        <v>43</v>
      </c>
      <c r="AE14" s="4" t="s">
        <v>62</v>
      </c>
      <c r="AF14" s="4" t="s">
        <v>63</v>
      </c>
      <c r="AG14" s="5" t="s">
        <v>121</v>
      </c>
      <c r="AH14" s="5" t="s">
        <v>65</v>
      </c>
      <c r="AI14" s="5" t="s">
        <v>45</v>
      </c>
    </row>
    <row r="15" customFormat="false" ht="15" hidden="false" customHeight="true" outlineLevel="0" collapsed="false">
      <c r="A15" s="3" t="s">
        <v>122</v>
      </c>
      <c r="B15" s="4" t="s">
        <v>36</v>
      </c>
      <c r="C15" s="4"/>
      <c r="D15" s="4" t="s">
        <v>37</v>
      </c>
      <c r="E15" s="4" t="s">
        <v>67</v>
      </c>
      <c r="F15" s="4" t="s">
        <v>68</v>
      </c>
      <c r="G15" s="4" t="s">
        <v>40</v>
      </c>
      <c r="H15" s="4" t="s">
        <v>123</v>
      </c>
      <c r="I15" s="4" t="s">
        <v>124</v>
      </c>
      <c r="J15" s="4" t="s">
        <v>70</v>
      </c>
      <c r="K15" s="4" t="s">
        <v>57</v>
      </c>
      <c r="L15" s="4" t="s">
        <v>58</v>
      </c>
      <c r="M15" s="4" t="s">
        <v>58</v>
      </c>
      <c r="N15" s="4" t="s">
        <v>58</v>
      </c>
      <c r="O15" s="4" t="s">
        <v>58</v>
      </c>
      <c r="P15" s="4" t="s">
        <v>58</v>
      </c>
      <c r="Q15" s="4" t="s">
        <v>58</v>
      </c>
      <c r="R15" s="6" t="n">
        <v>21.338</v>
      </c>
      <c r="S15" s="6" t="n">
        <v>81.227</v>
      </c>
      <c r="T15" s="4"/>
      <c r="U15" s="4" t="s">
        <v>42</v>
      </c>
      <c r="V15" s="4" t="s">
        <v>59</v>
      </c>
      <c r="W15" s="4" t="s">
        <v>58</v>
      </c>
      <c r="X15" s="4" t="s">
        <v>60</v>
      </c>
      <c r="Y15" s="4" t="s">
        <v>58</v>
      </c>
      <c r="Z15" s="4" t="s">
        <v>125</v>
      </c>
      <c r="AA15" s="6" t="n">
        <v>62.726</v>
      </c>
      <c r="AB15" s="6" t="n">
        <v>34.836</v>
      </c>
      <c r="AC15" s="6" t="n">
        <v>46.391</v>
      </c>
      <c r="AD15" s="4" t="s">
        <v>43</v>
      </c>
      <c r="AE15" s="4" t="s">
        <v>73</v>
      </c>
      <c r="AF15" s="4" t="s">
        <v>63</v>
      </c>
      <c r="AG15" s="5" t="s">
        <v>126</v>
      </c>
      <c r="AH15" s="5" t="s">
        <v>65</v>
      </c>
      <c r="AI15" s="5" t="s">
        <v>45</v>
      </c>
    </row>
    <row r="16" customFormat="false" ht="15" hidden="false" customHeight="true" outlineLevel="0" collapsed="false">
      <c r="A16" s="3" t="s">
        <v>127</v>
      </c>
      <c r="B16" s="4" t="s">
        <v>36</v>
      </c>
      <c r="C16" s="4"/>
      <c r="D16" s="4" t="s">
        <v>37</v>
      </c>
      <c r="E16" s="4" t="s">
        <v>38</v>
      </c>
      <c r="F16" s="4" t="s">
        <v>39</v>
      </c>
      <c r="G16" s="4" t="s">
        <v>40</v>
      </c>
      <c r="H16" s="4"/>
      <c r="I16" s="4" t="s">
        <v>128</v>
      </c>
      <c r="J16" s="4" t="s">
        <v>51</v>
      </c>
      <c r="K16" s="4" t="s">
        <v>51</v>
      </c>
      <c r="L16" s="4"/>
      <c r="M16" s="4"/>
      <c r="N16" s="4"/>
      <c r="O16" s="4"/>
      <c r="P16" s="4"/>
      <c r="Q16" s="4"/>
      <c r="R16" s="4"/>
      <c r="S16" s="4"/>
      <c r="T16" s="4"/>
      <c r="U16" s="4" t="s">
        <v>42</v>
      </c>
      <c r="V16" s="4"/>
      <c r="W16" s="4"/>
      <c r="X16" s="4"/>
      <c r="Y16" s="4"/>
      <c r="Z16" s="4"/>
      <c r="AA16" s="4"/>
      <c r="AB16" s="4"/>
      <c r="AC16" s="4"/>
      <c r="AD16" s="4" t="s">
        <v>43</v>
      </c>
      <c r="AE16" s="4"/>
      <c r="AF16" s="4"/>
      <c r="AG16" s="5" t="s">
        <v>129</v>
      </c>
      <c r="AI16" s="5" t="s">
        <v>45</v>
      </c>
    </row>
    <row r="17" customFormat="false" ht="15" hidden="false" customHeight="true" outlineLevel="0" collapsed="false">
      <c r="A17" s="3" t="s">
        <v>130</v>
      </c>
      <c r="B17" s="4" t="s">
        <v>36</v>
      </c>
      <c r="C17" s="4"/>
      <c r="D17" s="4" t="s">
        <v>37</v>
      </c>
      <c r="E17" s="4" t="s">
        <v>47</v>
      </c>
      <c r="F17" s="4" t="s">
        <v>48</v>
      </c>
      <c r="G17" s="4" t="s">
        <v>40</v>
      </c>
      <c r="H17" s="4"/>
      <c r="I17" s="4" t="s">
        <v>131</v>
      </c>
      <c r="J17" s="4" t="s">
        <v>132</v>
      </c>
      <c r="K17" s="4" t="s">
        <v>51</v>
      </c>
      <c r="L17" s="4"/>
      <c r="M17" s="4"/>
      <c r="N17" s="4"/>
      <c r="O17" s="4"/>
      <c r="P17" s="4"/>
      <c r="Q17" s="4"/>
      <c r="R17" s="4"/>
      <c r="S17" s="4"/>
      <c r="T17" s="4"/>
      <c r="U17" s="4" t="s">
        <v>42</v>
      </c>
      <c r="V17" s="4" t="s">
        <v>59</v>
      </c>
      <c r="W17" s="4"/>
      <c r="X17" s="4"/>
      <c r="Y17" s="4"/>
      <c r="Z17" s="4"/>
      <c r="AA17" s="4"/>
      <c r="AB17" s="4"/>
      <c r="AC17" s="4"/>
      <c r="AD17" s="4" t="s">
        <v>43</v>
      </c>
      <c r="AE17" s="4"/>
      <c r="AF17" s="4"/>
      <c r="AG17" s="5" t="s">
        <v>133</v>
      </c>
      <c r="AI17" s="5" t="s">
        <v>45</v>
      </c>
    </row>
    <row r="18" customFormat="false" ht="15" hidden="false" customHeight="true" outlineLevel="0" collapsed="false">
      <c r="A18" s="3" t="s">
        <v>134</v>
      </c>
      <c r="B18" s="4" t="s">
        <v>36</v>
      </c>
      <c r="C18" s="4"/>
      <c r="D18" s="4" t="s">
        <v>37</v>
      </c>
      <c r="E18" s="4" t="s">
        <v>54</v>
      </c>
      <c r="F18" s="4" t="s">
        <v>55</v>
      </c>
      <c r="G18" s="4" t="s">
        <v>40</v>
      </c>
      <c r="H18" s="4" t="s">
        <v>85</v>
      </c>
      <c r="I18" s="4" t="s">
        <v>135</v>
      </c>
      <c r="J18" s="4" t="s">
        <v>99</v>
      </c>
      <c r="K18" s="4" t="s">
        <v>110</v>
      </c>
      <c r="L18" s="4" t="s">
        <v>58</v>
      </c>
      <c r="M18" s="4" t="s">
        <v>58</v>
      </c>
      <c r="N18" s="4" t="s">
        <v>58</v>
      </c>
      <c r="O18" s="4" t="s">
        <v>58</v>
      </c>
      <c r="P18" s="4" t="s">
        <v>58</v>
      </c>
      <c r="Q18" s="4" t="s">
        <v>58</v>
      </c>
      <c r="R18" s="6" t="n">
        <v>3.759</v>
      </c>
      <c r="S18" s="6" t="n">
        <v>28.08</v>
      </c>
      <c r="T18" s="4"/>
      <c r="U18" s="4" t="s">
        <v>42</v>
      </c>
      <c r="V18" s="4" t="s">
        <v>100</v>
      </c>
      <c r="W18" s="4" t="s">
        <v>58</v>
      </c>
      <c r="X18" s="4" t="s">
        <v>60</v>
      </c>
      <c r="Y18" s="4" t="s">
        <v>58</v>
      </c>
      <c r="Z18" s="4" t="s">
        <v>136</v>
      </c>
      <c r="AA18" s="6" t="n">
        <v>25.893</v>
      </c>
      <c r="AB18" s="6" t="n">
        <v>9.713</v>
      </c>
      <c r="AC18" s="6" t="n">
        <v>18.367</v>
      </c>
      <c r="AD18" s="4" t="s">
        <v>43</v>
      </c>
      <c r="AE18" s="4"/>
      <c r="AF18" s="4"/>
      <c r="AG18" s="5" t="s">
        <v>137</v>
      </c>
      <c r="AI18" s="5" t="s">
        <v>45</v>
      </c>
    </row>
    <row r="19" customFormat="false" ht="15" hidden="false" customHeight="true" outlineLevel="0" collapsed="false">
      <c r="A19" s="3" t="s">
        <v>138</v>
      </c>
      <c r="B19" s="4" t="s">
        <v>36</v>
      </c>
      <c r="C19" s="4"/>
      <c r="D19" s="4" t="s">
        <v>37</v>
      </c>
      <c r="E19" s="4" t="s">
        <v>67</v>
      </c>
      <c r="F19" s="4" t="s">
        <v>68</v>
      </c>
      <c r="G19" s="4" t="s">
        <v>40</v>
      </c>
      <c r="H19" s="4"/>
      <c r="I19" s="4" t="s">
        <v>69</v>
      </c>
      <c r="J19" s="4" t="s">
        <v>70</v>
      </c>
      <c r="K19" s="4" t="s">
        <v>110</v>
      </c>
      <c r="L19" s="4" t="s">
        <v>58</v>
      </c>
      <c r="M19" s="4" t="s">
        <v>58</v>
      </c>
      <c r="N19" s="4" t="s">
        <v>58</v>
      </c>
      <c r="O19" s="4" t="s">
        <v>58</v>
      </c>
      <c r="P19" s="4" t="s">
        <v>58</v>
      </c>
      <c r="Q19" s="4" t="s">
        <v>58</v>
      </c>
      <c r="R19" s="6" t="n">
        <v>12.288</v>
      </c>
      <c r="S19" s="6" t="n">
        <v>41.687</v>
      </c>
      <c r="T19" s="4"/>
      <c r="U19" s="4" t="s">
        <v>42</v>
      </c>
      <c r="V19" s="4" t="s">
        <v>100</v>
      </c>
      <c r="W19" s="4" t="s">
        <v>58</v>
      </c>
      <c r="X19" s="4" t="s">
        <v>60</v>
      </c>
      <c r="Y19" s="4" t="s">
        <v>58</v>
      </c>
      <c r="Z19" s="4" t="s">
        <v>139</v>
      </c>
      <c r="AA19" s="6" t="n">
        <v>39.452</v>
      </c>
      <c r="AB19" s="6" t="n">
        <v>14.872</v>
      </c>
      <c r="AC19" s="6" t="n">
        <v>26.815</v>
      </c>
      <c r="AD19" s="4" t="s">
        <v>43</v>
      </c>
      <c r="AE19" s="4"/>
      <c r="AF19" s="4"/>
      <c r="AG19" s="5" t="s">
        <v>140</v>
      </c>
      <c r="AI19" s="5" t="s">
        <v>45</v>
      </c>
    </row>
    <row r="20" customFormat="false" ht="15" hidden="false" customHeight="true" outlineLevel="0" collapsed="false">
      <c r="A20" s="3" t="s">
        <v>141</v>
      </c>
      <c r="B20" s="4" t="s">
        <v>36</v>
      </c>
      <c r="C20" s="4"/>
      <c r="D20" s="4" t="s">
        <v>37</v>
      </c>
      <c r="E20" s="7" t="s">
        <v>76</v>
      </c>
      <c r="F20" s="7" t="s">
        <v>77</v>
      </c>
      <c r="G20" s="4" t="s">
        <v>40</v>
      </c>
      <c r="H20" s="4" t="s">
        <v>85</v>
      </c>
      <c r="I20" s="4" t="s">
        <v>69</v>
      </c>
      <c r="J20" s="4" t="s">
        <v>70</v>
      </c>
      <c r="K20" s="4" t="s">
        <v>57</v>
      </c>
      <c r="L20" s="4" t="s">
        <v>58</v>
      </c>
      <c r="M20" s="4" t="s">
        <v>58</v>
      </c>
      <c r="N20" s="4" t="s">
        <v>58</v>
      </c>
      <c r="O20" s="4" t="s">
        <v>58</v>
      </c>
      <c r="P20" s="4" t="s">
        <v>58</v>
      </c>
      <c r="Q20" s="4" t="s">
        <v>58</v>
      </c>
      <c r="R20" s="6" t="n">
        <v>26.027</v>
      </c>
      <c r="S20" s="6" t="n">
        <v>62.865</v>
      </c>
      <c r="T20" s="4" t="s">
        <v>142</v>
      </c>
      <c r="U20" s="4" t="s">
        <v>42</v>
      </c>
      <c r="V20" s="4" t="s">
        <v>59</v>
      </c>
      <c r="W20" s="4" t="s">
        <v>58</v>
      </c>
      <c r="X20" s="4" t="s">
        <v>60</v>
      </c>
      <c r="Y20" s="4" t="s">
        <v>58</v>
      </c>
      <c r="Z20" s="4" t="s">
        <v>143</v>
      </c>
      <c r="AA20" s="6" t="n">
        <v>56.328</v>
      </c>
      <c r="AB20" s="6" t="n">
        <v>32.296</v>
      </c>
      <c r="AC20" s="6" t="n">
        <v>30.569</v>
      </c>
      <c r="AD20" s="4" t="s">
        <v>43</v>
      </c>
      <c r="AE20" s="4"/>
      <c r="AF20" s="4"/>
      <c r="AG20" s="5" t="s">
        <v>144</v>
      </c>
      <c r="AI20" s="5" t="s">
        <v>45</v>
      </c>
    </row>
    <row r="21" customFormat="false" ht="15" hidden="false" customHeight="true" outlineLevel="0" collapsed="false">
      <c r="A21" s="3" t="s">
        <v>145</v>
      </c>
      <c r="B21" s="4" t="s">
        <v>36</v>
      </c>
      <c r="C21" s="4"/>
      <c r="D21" s="4" t="s">
        <v>37</v>
      </c>
      <c r="E21" s="7" t="s">
        <v>83</v>
      </c>
      <c r="F21" s="7" t="s">
        <v>84</v>
      </c>
      <c r="G21" s="4" t="s">
        <v>40</v>
      </c>
      <c r="H21" s="4" t="s">
        <v>85</v>
      </c>
      <c r="I21" s="4" t="s">
        <v>146</v>
      </c>
      <c r="J21" s="4" t="s">
        <v>50</v>
      </c>
      <c r="K21" s="4" t="s">
        <v>57</v>
      </c>
      <c r="L21" s="4" t="s">
        <v>58</v>
      </c>
      <c r="M21" s="4" t="s">
        <v>58</v>
      </c>
      <c r="N21" s="4" t="s">
        <v>58</v>
      </c>
      <c r="O21" s="4" t="s">
        <v>58</v>
      </c>
      <c r="P21" s="4" t="s">
        <v>58</v>
      </c>
      <c r="Q21" s="4" t="s">
        <v>58</v>
      </c>
      <c r="R21" s="6" t="n">
        <v>1.465</v>
      </c>
      <c r="S21" s="6" t="n">
        <v>28.187</v>
      </c>
      <c r="T21" s="4"/>
      <c r="U21" s="4" t="s">
        <v>42</v>
      </c>
      <c r="V21" s="4" t="s">
        <v>59</v>
      </c>
      <c r="W21" s="4" t="s">
        <v>58</v>
      </c>
      <c r="X21" s="4" t="s">
        <v>60</v>
      </c>
      <c r="Y21" s="4" t="s">
        <v>58</v>
      </c>
      <c r="Z21" s="4" t="s">
        <v>147</v>
      </c>
      <c r="AA21" s="6" t="n">
        <v>21.35</v>
      </c>
      <c r="AB21" s="6" t="n">
        <v>20.118</v>
      </c>
      <c r="AC21" s="6" t="n">
        <v>8.069</v>
      </c>
      <c r="AD21" s="4" t="s">
        <v>43</v>
      </c>
      <c r="AE21" s="4"/>
      <c r="AF21" s="4"/>
      <c r="AG21" s="5" t="s">
        <v>148</v>
      </c>
      <c r="AI21" s="5" t="s">
        <v>45</v>
      </c>
    </row>
    <row r="22" customFormat="false" ht="15" hidden="false" customHeight="true" outlineLevel="0" collapsed="false">
      <c r="A22" s="3" t="s">
        <v>149</v>
      </c>
      <c r="B22" s="4" t="s">
        <v>36</v>
      </c>
      <c r="C22" s="4"/>
      <c r="D22" s="4" t="s">
        <v>37</v>
      </c>
      <c r="E22" s="4" t="s">
        <v>150</v>
      </c>
      <c r="F22" s="4" t="s">
        <v>151</v>
      </c>
      <c r="G22" s="4" t="s">
        <v>40</v>
      </c>
      <c r="H22" s="4" t="s">
        <v>85</v>
      </c>
      <c r="I22" s="4" t="s">
        <v>152</v>
      </c>
      <c r="J22" s="4" t="s">
        <v>51</v>
      </c>
      <c r="K22" s="4" t="s">
        <v>51</v>
      </c>
      <c r="L22" s="4"/>
      <c r="M22" s="4"/>
      <c r="N22" s="4"/>
      <c r="O22" s="4"/>
      <c r="P22" s="4"/>
      <c r="Q22" s="4"/>
      <c r="R22" s="6" t="n">
        <v>3.814</v>
      </c>
      <c r="S22" s="4"/>
      <c r="T22" s="4"/>
      <c r="U22" s="4" t="s">
        <v>42</v>
      </c>
      <c r="V22" s="4" t="s">
        <v>100</v>
      </c>
      <c r="W22" s="4"/>
      <c r="X22" s="4"/>
      <c r="Y22" s="4"/>
      <c r="Z22" s="4"/>
      <c r="AA22" s="4"/>
      <c r="AB22" s="4"/>
      <c r="AC22" s="4"/>
      <c r="AD22" s="4" t="s">
        <v>43</v>
      </c>
      <c r="AE22" s="4"/>
      <c r="AF22" s="4"/>
      <c r="AG22" s="5" t="s">
        <v>153</v>
      </c>
      <c r="AI22" s="5" t="s">
        <v>45</v>
      </c>
    </row>
    <row r="23" customFormat="false" ht="15" hidden="false" customHeight="true" outlineLevel="0" collapsed="false">
      <c r="A23" s="3" t="s">
        <v>154</v>
      </c>
      <c r="B23" s="4" t="s">
        <v>155</v>
      </c>
      <c r="C23" s="4"/>
      <c r="D23" s="4" t="s">
        <v>37</v>
      </c>
      <c r="E23" s="4" t="s">
        <v>150</v>
      </c>
      <c r="F23" s="4" t="s">
        <v>151</v>
      </c>
      <c r="G23" s="4" t="s">
        <v>40</v>
      </c>
      <c r="H23" s="4" t="s">
        <v>85</v>
      </c>
      <c r="I23" s="4" t="s">
        <v>156</v>
      </c>
      <c r="J23" s="4" t="s">
        <v>51</v>
      </c>
      <c r="K23" s="4" t="s">
        <v>51</v>
      </c>
      <c r="L23" s="4" t="s">
        <v>58</v>
      </c>
      <c r="M23" s="4"/>
      <c r="N23" s="4"/>
      <c r="O23" s="4"/>
      <c r="P23" s="4"/>
      <c r="Q23" s="4" t="s">
        <v>58</v>
      </c>
      <c r="R23" s="6" t="n">
        <v>9.284</v>
      </c>
      <c r="S23" s="4"/>
      <c r="T23" s="4"/>
      <c r="U23" s="4" t="s">
        <v>42</v>
      </c>
      <c r="V23" s="4" t="s">
        <v>100</v>
      </c>
      <c r="W23" s="4"/>
      <c r="X23" s="4"/>
      <c r="Y23" s="4"/>
      <c r="Z23" s="4"/>
      <c r="AA23" s="4"/>
      <c r="AB23" s="4"/>
      <c r="AC23" s="4"/>
      <c r="AD23" s="4" t="s">
        <v>43</v>
      </c>
      <c r="AE23" s="4" t="s">
        <v>157</v>
      </c>
      <c r="AF23" s="4" t="s">
        <v>63</v>
      </c>
      <c r="AG23" s="5" t="s">
        <v>158</v>
      </c>
      <c r="AH23" s="5" t="s">
        <v>65</v>
      </c>
      <c r="AI23" s="5" t="s">
        <v>45</v>
      </c>
    </row>
    <row r="24" customFormat="false" ht="15" hidden="false" customHeight="true" outlineLevel="0" collapsed="false">
      <c r="A24" s="3" t="s">
        <v>159</v>
      </c>
      <c r="B24" s="4" t="s">
        <v>155</v>
      </c>
      <c r="C24" s="4"/>
      <c r="D24" s="4" t="s">
        <v>37</v>
      </c>
      <c r="E24" s="4" t="s">
        <v>150</v>
      </c>
      <c r="F24" s="4" t="s">
        <v>151</v>
      </c>
      <c r="G24" s="4" t="s">
        <v>40</v>
      </c>
      <c r="H24" s="4" t="s">
        <v>85</v>
      </c>
      <c r="I24" s="4" t="s">
        <v>160</v>
      </c>
      <c r="J24" s="4" t="s">
        <v>51</v>
      </c>
      <c r="K24" s="4" t="s">
        <v>51</v>
      </c>
      <c r="L24" s="4" t="s">
        <v>58</v>
      </c>
      <c r="M24" s="4"/>
      <c r="N24" s="4"/>
      <c r="O24" s="4"/>
      <c r="P24" s="4"/>
      <c r="Q24" s="4" t="s">
        <v>58</v>
      </c>
      <c r="R24" s="6" t="n">
        <v>5.12</v>
      </c>
      <c r="S24" s="4"/>
      <c r="T24" s="4"/>
      <c r="U24" s="4" t="s">
        <v>42</v>
      </c>
      <c r="V24" s="4" t="s">
        <v>100</v>
      </c>
      <c r="W24" s="4"/>
      <c r="X24" s="4"/>
      <c r="Y24" s="4"/>
      <c r="Z24" s="4"/>
      <c r="AA24" s="4"/>
      <c r="AB24" s="4"/>
      <c r="AC24" s="4"/>
      <c r="AD24" s="4" t="s">
        <v>43</v>
      </c>
      <c r="AE24" s="4" t="s">
        <v>161</v>
      </c>
      <c r="AF24" s="4" t="s">
        <v>63</v>
      </c>
      <c r="AG24" s="5" t="s">
        <v>162</v>
      </c>
      <c r="AH24" s="5" t="s">
        <v>65</v>
      </c>
      <c r="AI24" s="5" t="s">
        <v>45</v>
      </c>
    </row>
    <row r="25" customFormat="false" ht="15" hidden="false" customHeight="true" outlineLevel="0" collapsed="false">
      <c r="A25" s="3" t="s">
        <v>163</v>
      </c>
      <c r="B25" s="4" t="s">
        <v>155</v>
      </c>
      <c r="C25" s="4"/>
      <c r="D25" s="4" t="s">
        <v>37</v>
      </c>
      <c r="E25" s="4" t="s">
        <v>83</v>
      </c>
      <c r="F25" s="4" t="s">
        <v>84</v>
      </c>
      <c r="G25" s="4" t="s">
        <v>40</v>
      </c>
      <c r="H25" s="4"/>
      <c r="I25" s="4" t="s">
        <v>164</v>
      </c>
      <c r="J25" s="4" t="s">
        <v>99</v>
      </c>
      <c r="K25" s="4" t="s">
        <v>57</v>
      </c>
      <c r="L25" s="4" t="s">
        <v>58</v>
      </c>
      <c r="M25" s="4" t="s">
        <v>58</v>
      </c>
      <c r="N25" s="4" t="s">
        <v>58</v>
      </c>
      <c r="O25" s="4" t="s">
        <v>58</v>
      </c>
      <c r="P25" s="4" t="s">
        <v>58</v>
      </c>
      <c r="Q25" s="4" t="s">
        <v>58</v>
      </c>
      <c r="R25" s="6" t="n">
        <v>6.231</v>
      </c>
      <c r="S25" s="6" t="n">
        <v>43.208</v>
      </c>
      <c r="T25" s="4"/>
      <c r="U25" s="4" t="s">
        <v>42</v>
      </c>
      <c r="V25" s="4" t="s">
        <v>100</v>
      </c>
      <c r="W25" s="4" t="s">
        <v>58</v>
      </c>
      <c r="X25" s="4" t="s">
        <v>60</v>
      </c>
      <c r="Y25" s="4" t="s">
        <v>106</v>
      </c>
      <c r="Z25" s="4" t="s">
        <v>165</v>
      </c>
      <c r="AA25" s="6" t="n">
        <v>36.388</v>
      </c>
      <c r="AB25" s="6" t="n">
        <v>26.749</v>
      </c>
      <c r="AC25" s="6" t="n">
        <v>16.459</v>
      </c>
      <c r="AD25" s="4" t="s">
        <v>43</v>
      </c>
      <c r="AE25" s="4" t="s">
        <v>102</v>
      </c>
      <c r="AF25" s="4" t="s">
        <v>63</v>
      </c>
      <c r="AG25" s="5" t="s">
        <v>166</v>
      </c>
      <c r="AH25" s="5" t="s">
        <v>65</v>
      </c>
      <c r="AI25" s="5" t="s">
        <v>45</v>
      </c>
    </row>
    <row r="26" customFormat="false" ht="15" hidden="false" customHeight="true" outlineLevel="0" collapsed="false">
      <c r="A26" s="3" t="s">
        <v>167</v>
      </c>
      <c r="B26" s="4" t="s">
        <v>155</v>
      </c>
      <c r="C26" s="4"/>
      <c r="D26" s="4" t="s">
        <v>37</v>
      </c>
      <c r="E26" s="4" t="s">
        <v>38</v>
      </c>
      <c r="F26" s="4" t="s">
        <v>39</v>
      </c>
      <c r="G26" s="4" t="s">
        <v>40</v>
      </c>
      <c r="H26" s="4"/>
      <c r="I26" s="4" t="s">
        <v>168</v>
      </c>
      <c r="J26" s="4" t="s">
        <v>51</v>
      </c>
      <c r="K26" s="4" t="s">
        <v>51</v>
      </c>
      <c r="L26" s="4"/>
      <c r="M26" s="4"/>
      <c r="N26" s="4"/>
      <c r="O26" s="4"/>
      <c r="P26" s="4"/>
      <c r="Q26" s="4"/>
      <c r="R26" s="4"/>
      <c r="S26" s="4"/>
      <c r="T26" s="4"/>
      <c r="U26" s="4" t="s">
        <v>42</v>
      </c>
      <c r="V26" s="4"/>
      <c r="W26" s="4"/>
      <c r="X26" s="4"/>
      <c r="Y26" s="4"/>
      <c r="Z26" s="4"/>
      <c r="AA26" s="4"/>
      <c r="AB26" s="4"/>
      <c r="AC26" s="4"/>
      <c r="AD26" s="4" t="s">
        <v>43</v>
      </c>
      <c r="AE26" s="4"/>
      <c r="AF26" s="4"/>
      <c r="AG26" s="5" t="s">
        <v>169</v>
      </c>
      <c r="AI26" s="5" t="s">
        <v>45</v>
      </c>
    </row>
    <row r="27" customFormat="false" ht="15" hidden="false" customHeight="true" outlineLevel="0" collapsed="false">
      <c r="A27" s="3" t="s">
        <v>170</v>
      </c>
      <c r="B27" s="4" t="s">
        <v>155</v>
      </c>
      <c r="C27" s="4"/>
      <c r="D27" s="4" t="s">
        <v>37</v>
      </c>
      <c r="E27" s="4" t="s">
        <v>47</v>
      </c>
      <c r="F27" s="4" t="s">
        <v>48</v>
      </c>
      <c r="G27" s="4" t="s">
        <v>40</v>
      </c>
      <c r="H27" s="4"/>
      <c r="I27" s="4" t="s">
        <v>171</v>
      </c>
      <c r="J27" s="4" t="s">
        <v>172</v>
      </c>
      <c r="K27" s="4" t="s">
        <v>51</v>
      </c>
      <c r="L27" s="4"/>
      <c r="M27" s="4"/>
      <c r="N27" s="4"/>
      <c r="O27" s="4"/>
      <c r="P27" s="4"/>
      <c r="Q27" s="4"/>
      <c r="R27" s="4"/>
      <c r="S27" s="4"/>
      <c r="T27" s="4"/>
      <c r="U27" s="4" t="s">
        <v>42</v>
      </c>
      <c r="V27" s="4"/>
      <c r="W27" s="4"/>
      <c r="X27" s="4"/>
      <c r="Y27" s="4"/>
      <c r="Z27" s="4"/>
      <c r="AA27" s="4"/>
      <c r="AB27" s="4"/>
      <c r="AC27" s="4"/>
      <c r="AD27" s="4" t="s">
        <v>43</v>
      </c>
      <c r="AE27" s="4"/>
      <c r="AF27" s="4"/>
      <c r="AG27" s="5" t="s">
        <v>173</v>
      </c>
      <c r="AI27" s="5" t="s">
        <v>45</v>
      </c>
    </row>
    <row r="28" customFormat="false" ht="15" hidden="false" customHeight="true" outlineLevel="0" collapsed="false">
      <c r="A28" s="3" t="s">
        <v>174</v>
      </c>
      <c r="B28" s="4" t="s">
        <v>155</v>
      </c>
      <c r="C28" s="4"/>
      <c r="D28" s="4" t="s">
        <v>37</v>
      </c>
      <c r="E28" s="4" t="s">
        <v>38</v>
      </c>
      <c r="F28" s="4" t="s">
        <v>39</v>
      </c>
      <c r="G28" s="4" t="s">
        <v>40</v>
      </c>
      <c r="H28" s="4" t="s">
        <v>85</v>
      </c>
      <c r="I28" s="4" t="s">
        <v>175</v>
      </c>
      <c r="J28" s="4" t="s">
        <v>50</v>
      </c>
      <c r="K28" s="4" t="s">
        <v>71</v>
      </c>
      <c r="L28" s="4" t="s">
        <v>58</v>
      </c>
      <c r="M28" s="4" t="s">
        <v>58</v>
      </c>
      <c r="N28" s="4" t="s">
        <v>58</v>
      </c>
      <c r="O28" s="4" t="s">
        <v>58</v>
      </c>
      <c r="P28" s="4" t="s">
        <v>58</v>
      </c>
      <c r="Q28" s="4" t="s">
        <v>58</v>
      </c>
      <c r="R28" s="6" t="n">
        <v>4.319</v>
      </c>
      <c r="S28" s="6" t="n">
        <v>31.686</v>
      </c>
      <c r="T28" s="4"/>
      <c r="U28" s="4" t="s">
        <v>42</v>
      </c>
      <c r="V28" s="4" t="s">
        <v>100</v>
      </c>
      <c r="W28" s="4" t="s">
        <v>58</v>
      </c>
      <c r="X28" s="4" t="s">
        <v>60</v>
      </c>
      <c r="Y28" s="4" t="s">
        <v>58</v>
      </c>
      <c r="Z28" s="4" t="s">
        <v>176</v>
      </c>
      <c r="AA28" s="6" t="n">
        <v>25.51</v>
      </c>
      <c r="AB28" s="6" t="n">
        <v>10.643</v>
      </c>
      <c r="AC28" s="6" t="n">
        <v>21.043</v>
      </c>
      <c r="AD28" s="4" t="s">
        <v>43</v>
      </c>
      <c r="AE28" s="4" t="s">
        <v>177</v>
      </c>
      <c r="AF28" s="4" t="s">
        <v>63</v>
      </c>
      <c r="AG28" s="5" t="s">
        <v>178</v>
      </c>
      <c r="AH28" s="5" t="s">
        <v>65</v>
      </c>
      <c r="AI28" s="5" t="s">
        <v>45</v>
      </c>
    </row>
    <row r="29" customFormat="false" ht="15" hidden="false" customHeight="true" outlineLevel="0" collapsed="false">
      <c r="A29" s="3" t="s">
        <v>179</v>
      </c>
      <c r="B29" s="4" t="s">
        <v>155</v>
      </c>
      <c r="C29" s="4"/>
      <c r="D29" s="4" t="s">
        <v>37</v>
      </c>
      <c r="E29" s="4" t="s">
        <v>67</v>
      </c>
      <c r="F29" s="4" t="s">
        <v>68</v>
      </c>
      <c r="G29" s="4" t="s">
        <v>40</v>
      </c>
      <c r="H29" s="4"/>
      <c r="I29" s="4" t="s">
        <v>180</v>
      </c>
      <c r="J29" s="4" t="s">
        <v>70</v>
      </c>
      <c r="K29" s="4" t="s">
        <v>57</v>
      </c>
      <c r="L29" s="4" t="s">
        <v>58</v>
      </c>
      <c r="M29" s="4" t="s">
        <v>58</v>
      </c>
      <c r="N29" s="4" t="s">
        <v>58</v>
      </c>
      <c r="O29" s="4" t="s">
        <v>58</v>
      </c>
      <c r="P29" s="4" t="s">
        <v>58</v>
      </c>
      <c r="Q29" s="4" t="s">
        <v>58</v>
      </c>
      <c r="R29" s="6" t="n">
        <v>20.473</v>
      </c>
      <c r="S29" s="6" t="n">
        <v>58.464</v>
      </c>
      <c r="T29" s="4"/>
      <c r="U29" s="4" t="s">
        <v>42</v>
      </c>
      <c r="V29" s="4" t="s">
        <v>100</v>
      </c>
      <c r="W29" s="4" t="s">
        <v>106</v>
      </c>
      <c r="X29" s="4" t="s">
        <v>60</v>
      </c>
      <c r="Y29" s="4" t="s">
        <v>106</v>
      </c>
      <c r="Z29" s="4" t="s">
        <v>181</v>
      </c>
      <c r="AA29" s="6" t="n">
        <v>47.074</v>
      </c>
      <c r="AB29" s="6" t="n">
        <v>19.485</v>
      </c>
      <c r="AC29" s="6" t="n">
        <v>38.979</v>
      </c>
      <c r="AD29" s="4" t="s">
        <v>43</v>
      </c>
      <c r="AE29" s="4" t="s">
        <v>112</v>
      </c>
      <c r="AF29" s="4" t="s">
        <v>63</v>
      </c>
      <c r="AG29" s="5" t="s">
        <v>182</v>
      </c>
      <c r="AH29" s="5" t="s">
        <v>65</v>
      </c>
      <c r="AI29" s="5" t="s">
        <v>45</v>
      </c>
    </row>
    <row r="30" customFormat="false" ht="15" hidden="false" customHeight="true" outlineLevel="0" collapsed="false">
      <c r="A30" s="3" t="s">
        <v>183</v>
      </c>
      <c r="B30" s="4" t="s">
        <v>155</v>
      </c>
      <c r="C30" s="4"/>
      <c r="D30" s="4" t="s">
        <v>37</v>
      </c>
      <c r="E30" s="4" t="s">
        <v>76</v>
      </c>
      <c r="F30" s="4" t="s">
        <v>77</v>
      </c>
      <c r="G30" s="4" t="s">
        <v>40</v>
      </c>
      <c r="H30" s="4" t="s">
        <v>85</v>
      </c>
      <c r="I30" s="4" t="s">
        <v>184</v>
      </c>
      <c r="J30" s="4" t="s">
        <v>185</v>
      </c>
      <c r="K30" s="4" t="s">
        <v>57</v>
      </c>
      <c r="L30" s="4" t="s">
        <v>58</v>
      </c>
      <c r="M30" s="4" t="s">
        <v>58</v>
      </c>
      <c r="N30" s="4" t="s">
        <v>58</v>
      </c>
      <c r="O30" s="4" t="s">
        <v>58</v>
      </c>
      <c r="P30" s="4" t="s">
        <v>58</v>
      </c>
      <c r="Q30" s="4" t="s">
        <v>58</v>
      </c>
      <c r="R30" s="6" t="n">
        <v>26.045</v>
      </c>
      <c r="S30" s="6" t="n">
        <v>59.107</v>
      </c>
      <c r="T30" s="4"/>
      <c r="U30" s="4" t="s">
        <v>42</v>
      </c>
      <c r="V30" s="4" t="s">
        <v>59</v>
      </c>
      <c r="W30" s="4" t="s">
        <v>58</v>
      </c>
      <c r="X30" s="4" t="s">
        <v>60</v>
      </c>
      <c r="Y30" s="4" t="s">
        <v>58</v>
      </c>
      <c r="Z30" s="4" t="s">
        <v>186</v>
      </c>
      <c r="AA30" s="6" t="n">
        <v>52.928</v>
      </c>
      <c r="AB30" s="6" t="n">
        <v>22.082</v>
      </c>
      <c r="AC30" s="6" t="n">
        <v>37.025</v>
      </c>
      <c r="AD30" s="4" t="s">
        <v>43</v>
      </c>
      <c r="AE30" s="4" t="s">
        <v>80</v>
      </c>
      <c r="AF30" s="4" t="s">
        <v>63</v>
      </c>
      <c r="AG30" s="5" t="s">
        <v>187</v>
      </c>
      <c r="AH30" s="5" t="s">
        <v>65</v>
      </c>
      <c r="AI30" s="5" t="s">
        <v>45</v>
      </c>
    </row>
    <row r="31" customFormat="false" ht="15" hidden="false" customHeight="true" outlineLevel="0" collapsed="false">
      <c r="A31" s="3" t="s">
        <v>188</v>
      </c>
      <c r="B31" s="4" t="s">
        <v>155</v>
      </c>
      <c r="C31" s="4"/>
      <c r="D31" s="4" t="s">
        <v>37</v>
      </c>
      <c r="E31" s="4" t="s">
        <v>83</v>
      </c>
      <c r="F31" s="4" t="s">
        <v>84</v>
      </c>
      <c r="G31" s="4" t="s">
        <v>40</v>
      </c>
      <c r="H31" s="4" t="s">
        <v>189</v>
      </c>
      <c r="I31" s="4" t="s">
        <v>190</v>
      </c>
      <c r="J31" s="4" t="s">
        <v>70</v>
      </c>
      <c r="K31" s="4" t="s">
        <v>191</v>
      </c>
      <c r="L31" s="4" t="s">
        <v>58</v>
      </c>
      <c r="M31" s="4" t="s">
        <v>58</v>
      </c>
      <c r="N31" s="4" t="s">
        <v>58</v>
      </c>
      <c r="O31" s="4" t="s">
        <v>58</v>
      </c>
      <c r="P31" s="4" t="s">
        <v>58</v>
      </c>
      <c r="Q31" s="4" t="s">
        <v>58</v>
      </c>
      <c r="R31" s="6" t="n">
        <v>20.478</v>
      </c>
      <c r="S31" s="6" t="n">
        <v>69.221</v>
      </c>
      <c r="T31" s="4"/>
      <c r="U31" s="4" t="s">
        <v>42</v>
      </c>
      <c r="V31" s="4" t="s">
        <v>100</v>
      </c>
      <c r="W31" s="4" t="s">
        <v>58</v>
      </c>
      <c r="X31" s="4" t="s">
        <v>60</v>
      </c>
      <c r="Y31" s="4" t="s">
        <v>58</v>
      </c>
      <c r="Z31" s="4" t="s">
        <v>192</v>
      </c>
      <c r="AA31" s="6" t="n">
        <v>58.532</v>
      </c>
      <c r="AB31" s="6" t="n">
        <v>53.559</v>
      </c>
      <c r="AC31" s="6" t="n">
        <v>15.662</v>
      </c>
      <c r="AD31" s="4" t="s">
        <v>43</v>
      </c>
      <c r="AE31" s="4" t="s">
        <v>80</v>
      </c>
      <c r="AF31" s="4" t="s">
        <v>63</v>
      </c>
      <c r="AG31" s="5" t="s">
        <v>193</v>
      </c>
      <c r="AH31" s="5" t="s">
        <v>65</v>
      </c>
      <c r="AI31" s="5" t="s">
        <v>45</v>
      </c>
    </row>
    <row r="32" customFormat="false" ht="15" hidden="false" customHeight="true" outlineLevel="0" collapsed="false">
      <c r="A32" s="3" t="s">
        <v>194</v>
      </c>
      <c r="B32" s="4" t="s">
        <v>155</v>
      </c>
      <c r="C32" s="4"/>
      <c r="D32" s="4" t="s">
        <v>37</v>
      </c>
      <c r="E32" s="4" t="s">
        <v>150</v>
      </c>
      <c r="F32" s="4" t="s">
        <v>151</v>
      </c>
      <c r="G32" s="4" t="s">
        <v>40</v>
      </c>
      <c r="H32" s="4" t="s">
        <v>195</v>
      </c>
      <c r="I32" s="4" t="s">
        <v>196</v>
      </c>
      <c r="J32" s="4" t="s">
        <v>51</v>
      </c>
      <c r="K32" s="4" t="s">
        <v>51</v>
      </c>
      <c r="L32" s="4"/>
      <c r="M32" s="4"/>
      <c r="N32" s="4"/>
      <c r="O32" s="4"/>
      <c r="P32" s="4"/>
      <c r="Q32" s="4"/>
      <c r="R32" s="6" t="n">
        <v>3.012</v>
      </c>
      <c r="S32" s="4"/>
      <c r="T32" s="4"/>
      <c r="U32" s="4" t="s">
        <v>42</v>
      </c>
      <c r="V32" s="4" t="s">
        <v>100</v>
      </c>
      <c r="W32" s="4"/>
      <c r="X32" s="4"/>
      <c r="Y32" s="4"/>
      <c r="Z32" s="4"/>
      <c r="AA32" s="4"/>
      <c r="AB32" s="4"/>
      <c r="AC32" s="4"/>
      <c r="AD32" s="4" t="s">
        <v>43</v>
      </c>
      <c r="AE32" s="4" t="s">
        <v>157</v>
      </c>
      <c r="AF32" s="4" t="s">
        <v>197</v>
      </c>
      <c r="AG32" s="5" t="s">
        <v>198</v>
      </c>
      <c r="AH32" s="5" t="s">
        <v>65</v>
      </c>
      <c r="AI32" s="5" t="s">
        <v>45</v>
      </c>
    </row>
    <row r="33" customFormat="false" ht="15" hidden="false" customHeight="true" outlineLevel="0" collapsed="false">
      <c r="A33" s="3" t="s">
        <v>199</v>
      </c>
      <c r="B33" s="4" t="s">
        <v>155</v>
      </c>
      <c r="C33" s="4"/>
      <c r="D33" s="4" t="s">
        <v>37</v>
      </c>
      <c r="E33" s="4" t="s">
        <v>38</v>
      </c>
      <c r="F33" s="4" t="s">
        <v>39</v>
      </c>
      <c r="G33" s="4" t="s">
        <v>40</v>
      </c>
      <c r="H33" s="4"/>
      <c r="I33" s="4" t="s">
        <v>200</v>
      </c>
      <c r="J33" s="4" t="s">
        <v>51</v>
      </c>
      <c r="K33" s="4" t="s">
        <v>51</v>
      </c>
      <c r="L33" s="4"/>
      <c r="M33" s="4"/>
      <c r="N33" s="4"/>
      <c r="O33" s="4"/>
      <c r="P33" s="4"/>
      <c r="Q33" s="4"/>
      <c r="R33" s="4"/>
      <c r="S33" s="4"/>
      <c r="T33" s="4"/>
      <c r="U33" s="4" t="s">
        <v>42</v>
      </c>
      <c r="V33" s="4"/>
      <c r="W33" s="4"/>
      <c r="X33" s="4"/>
      <c r="Y33" s="4"/>
      <c r="Z33" s="4"/>
      <c r="AA33" s="4"/>
      <c r="AB33" s="4"/>
      <c r="AC33" s="4"/>
      <c r="AD33" s="4" t="s">
        <v>43</v>
      </c>
      <c r="AE33" s="4"/>
      <c r="AF33" s="4"/>
      <c r="AG33" s="5" t="s">
        <v>201</v>
      </c>
      <c r="AI33" s="5" t="s">
        <v>45</v>
      </c>
    </row>
    <row r="34" customFormat="false" ht="15" hidden="false" customHeight="true" outlineLevel="0" collapsed="false">
      <c r="A34" s="3" t="s">
        <v>202</v>
      </c>
      <c r="B34" s="4" t="s">
        <v>155</v>
      </c>
      <c r="C34" s="4"/>
      <c r="D34" s="4" t="s">
        <v>37</v>
      </c>
      <c r="E34" s="4" t="s">
        <v>47</v>
      </c>
      <c r="F34" s="4" t="s">
        <v>48</v>
      </c>
      <c r="G34" s="4" t="s">
        <v>40</v>
      </c>
      <c r="H34" s="4"/>
      <c r="I34" s="4" t="s">
        <v>203</v>
      </c>
      <c r="J34" s="4" t="s">
        <v>204</v>
      </c>
      <c r="K34" s="4" t="s">
        <v>51</v>
      </c>
      <c r="L34" s="4" t="s">
        <v>58</v>
      </c>
      <c r="M34" s="4"/>
      <c r="N34" s="4"/>
      <c r="O34" s="4"/>
      <c r="P34" s="4"/>
      <c r="Q34" s="4" t="s">
        <v>58</v>
      </c>
      <c r="R34" s="4"/>
      <c r="S34" s="4"/>
      <c r="T34" s="4"/>
      <c r="U34" s="4" t="s">
        <v>42</v>
      </c>
      <c r="V34" s="4"/>
      <c r="W34" s="4"/>
      <c r="X34" s="4"/>
      <c r="Y34" s="4"/>
      <c r="Z34" s="4"/>
      <c r="AA34" s="4"/>
      <c r="AB34" s="4"/>
      <c r="AC34" s="4"/>
      <c r="AD34" s="4" t="s">
        <v>43</v>
      </c>
      <c r="AE34" s="4"/>
      <c r="AF34" s="4"/>
      <c r="AG34" s="5" t="s">
        <v>205</v>
      </c>
      <c r="AI34" s="5" t="s">
        <v>45</v>
      </c>
    </row>
    <row r="35" customFormat="false" ht="15" hidden="false" customHeight="true" outlineLevel="0" collapsed="false">
      <c r="A35" s="3" t="s">
        <v>206</v>
      </c>
      <c r="B35" s="4" t="s">
        <v>155</v>
      </c>
      <c r="C35" s="4"/>
      <c r="D35" s="4" t="s">
        <v>37</v>
      </c>
      <c r="E35" s="4" t="s">
        <v>67</v>
      </c>
      <c r="F35" s="4" t="s">
        <v>68</v>
      </c>
      <c r="G35" s="4" t="s">
        <v>40</v>
      </c>
      <c r="H35" s="4"/>
      <c r="I35" s="4" t="s">
        <v>207</v>
      </c>
      <c r="J35" s="4" t="s">
        <v>78</v>
      </c>
      <c r="K35" s="4" t="s">
        <v>208</v>
      </c>
      <c r="L35" s="4" t="s">
        <v>58</v>
      </c>
      <c r="M35" s="4" t="s">
        <v>58</v>
      </c>
      <c r="N35" s="4" t="s">
        <v>58</v>
      </c>
      <c r="O35" s="4" t="s">
        <v>58</v>
      </c>
      <c r="P35" s="4" t="s">
        <v>58</v>
      </c>
      <c r="Q35" s="4" t="s">
        <v>58</v>
      </c>
      <c r="R35" s="6" t="n">
        <v>26.927</v>
      </c>
      <c r="S35" s="6" t="n">
        <v>86.942</v>
      </c>
      <c r="T35" s="4"/>
      <c r="U35" s="4" t="s">
        <v>42</v>
      </c>
      <c r="V35" s="4" t="s">
        <v>59</v>
      </c>
      <c r="W35" s="4" t="s">
        <v>106</v>
      </c>
      <c r="X35" s="4" t="s">
        <v>60</v>
      </c>
      <c r="Y35" s="4" t="s">
        <v>106</v>
      </c>
      <c r="Z35" s="4" t="s">
        <v>61</v>
      </c>
      <c r="AA35" s="6" t="n">
        <v>80.675</v>
      </c>
      <c r="AB35" s="6" t="n">
        <v>37.635</v>
      </c>
      <c r="AC35" s="6" t="n">
        <v>49.307</v>
      </c>
      <c r="AD35" s="4" t="s">
        <v>43</v>
      </c>
      <c r="AE35" s="4" t="s">
        <v>209</v>
      </c>
      <c r="AF35" s="4" t="s">
        <v>63</v>
      </c>
      <c r="AG35" s="5" t="s">
        <v>210</v>
      </c>
      <c r="AH35" s="5" t="s">
        <v>65</v>
      </c>
      <c r="AI35" s="5" t="s">
        <v>45</v>
      </c>
    </row>
    <row r="36" customFormat="false" ht="15" hidden="false" customHeight="true" outlineLevel="0" collapsed="false">
      <c r="A36" s="3" t="s">
        <v>211</v>
      </c>
      <c r="B36" s="4" t="s">
        <v>155</v>
      </c>
      <c r="C36" s="4"/>
      <c r="D36" s="4" t="s">
        <v>37</v>
      </c>
      <c r="E36" s="4" t="s">
        <v>76</v>
      </c>
      <c r="F36" s="4" t="s">
        <v>77</v>
      </c>
      <c r="G36" s="4" t="s">
        <v>40</v>
      </c>
      <c r="H36" s="4"/>
      <c r="I36" s="4" t="s">
        <v>124</v>
      </c>
      <c r="J36" s="4" t="s">
        <v>70</v>
      </c>
      <c r="K36" s="4" t="s">
        <v>212</v>
      </c>
      <c r="L36" s="4" t="s">
        <v>58</v>
      </c>
      <c r="M36" s="4" t="s">
        <v>58</v>
      </c>
      <c r="N36" s="4" t="s">
        <v>58</v>
      </c>
      <c r="O36" s="4" t="s">
        <v>58</v>
      </c>
      <c r="P36" s="4" t="s">
        <v>58</v>
      </c>
      <c r="Q36" s="4" t="s">
        <v>58</v>
      </c>
      <c r="R36" s="6" t="n">
        <v>10.564</v>
      </c>
      <c r="S36" s="6" t="n">
        <v>44.641</v>
      </c>
      <c r="T36" s="4"/>
      <c r="U36" s="4" t="s">
        <v>42</v>
      </c>
      <c r="V36" s="4" t="s">
        <v>59</v>
      </c>
      <c r="W36" s="4" t="s">
        <v>58</v>
      </c>
      <c r="X36" s="4" t="s">
        <v>60</v>
      </c>
      <c r="Y36" s="4" t="s">
        <v>58</v>
      </c>
      <c r="Z36" s="4" t="s">
        <v>111</v>
      </c>
      <c r="AA36" s="6" t="n">
        <v>42.515</v>
      </c>
      <c r="AB36" s="6" t="n">
        <v>20.571</v>
      </c>
      <c r="AC36" s="6" t="n">
        <v>24.07</v>
      </c>
      <c r="AD36" s="4" t="s">
        <v>43</v>
      </c>
      <c r="AE36" s="4" t="s">
        <v>80</v>
      </c>
      <c r="AF36" s="4" t="s">
        <v>63</v>
      </c>
      <c r="AG36" s="5" t="s">
        <v>213</v>
      </c>
      <c r="AH36" s="5" t="s">
        <v>65</v>
      </c>
      <c r="AI36" s="5" t="s">
        <v>45</v>
      </c>
    </row>
    <row r="37" customFormat="false" ht="15" hidden="false" customHeight="true" outlineLevel="0" collapsed="false">
      <c r="A37" s="3" t="s">
        <v>214</v>
      </c>
      <c r="B37" s="4" t="s">
        <v>155</v>
      </c>
      <c r="C37" s="4"/>
      <c r="D37" s="4" t="s">
        <v>37</v>
      </c>
      <c r="E37" s="4" t="s">
        <v>83</v>
      </c>
      <c r="F37" s="4" t="s">
        <v>84</v>
      </c>
      <c r="G37" s="4" t="s">
        <v>40</v>
      </c>
      <c r="H37" s="4"/>
      <c r="I37" s="4" t="s">
        <v>215</v>
      </c>
      <c r="J37" s="4" t="s">
        <v>216</v>
      </c>
      <c r="K37" s="4" t="s">
        <v>217</v>
      </c>
      <c r="L37" s="4" t="s">
        <v>58</v>
      </c>
      <c r="M37" s="4" t="s">
        <v>58</v>
      </c>
      <c r="N37" s="4" t="s">
        <v>58</v>
      </c>
      <c r="O37" s="4" t="s">
        <v>58</v>
      </c>
      <c r="P37" s="4" t="s">
        <v>58</v>
      </c>
      <c r="Q37" s="4" t="s">
        <v>58</v>
      </c>
      <c r="R37" s="6" t="n">
        <v>18.053</v>
      </c>
      <c r="S37" s="6" t="n">
        <v>53.554</v>
      </c>
      <c r="T37" s="4"/>
      <c r="U37" s="4" t="s">
        <v>42</v>
      </c>
      <c r="V37" s="4" t="s">
        <v>59</v>
      </c>
      <c r="W37" s="4" t="s">
        <v>58</v>
      </c>
      <c r="X37" s="4" t="s">
        <v>60</v>
      </c>
      <c r="Y37" s="4" t="s">
        <v>58</v>
      </c>
      <c r="Z37" s="4" t="s">
        <v>218</v>
      </c>
      <c r="AA37" s="6" t="n">
        <v>47.578</v>
      </c>
      <c r="AB37" s="6" t="n">
        <v>40.775</v>
      </c>
      <c r="AC37" s="6" t="n">
        <v>12.779</v>
      </c>
      <c r="AD37" s="4" t="s">
        <v>43</v>
      </c>
      <c r="AE37" s="4" t="s">
        <v>80</v>
      </c>
      <c r="AF37" s="4" t="s">
        <v>63</v>
      </c>
      <c r="AG37" s="5" t="s">
        <v>219</v>
      </c>
      <c r="AH37" s="5" t="s">
        <v>65</v>
      </c>
      <c r="AI37" s="5" t="s">
        <v>45</v>
      </c>
    </row>
    <row r="38" customFormat="false" ht="15" hidden="false" customHeight="true" outlineLevel="0" collapsed="false">
      <c r="A38" s="3" t="s">
        <v>220</v>
      </c>
      <c r="B38" s="4" t="s">
        <v>155</v>
      </c>
      <c r="C38" s="4"/>
      <c r="D38" s="4" t="s">
        <v>37</v>
      </c>
      <c r="E38" s="4" t="s">
        <v>150</v>
      </c>
      <c r="F38" s="4" t="s">
        <v>151</v>
      </c>
      <c r="G38" s="4" t="s">
        <v>40</v>
      </c>
      <c r="H38" s="4"/>
      <c r="I38" s="4" t="s">
        <v>221</v>
      </c>
      <c r="J38" s="4" t="s">
        <v>51</v>
      </c>
      <c r="K38" s="4" t="s">
        <v>51</v>
      </c>
      <c r="L38" s="4" t="s">
        <v>58</v>
      </c>
      <c r="M38" s="4" t="s">
        <v>58</v>
      </c>
      <c r="N38" s="4"/>
      <c r="O38" s="4"/>
      <c r="P38" s="4"/>
      <c r="Q38" s="4"/>
      <c r="R38" s="6" t="n">
        <v>2.44</v>
      </c>
      <c r="S38" s="4"/>
      <c r="T38" s="4"/>
      <c r="U38" s="4" t="s">
        <v>42</v>
      </c>
      <c r="V38" s="4" t="s">
        <v>100</v>
      </c>
      <c r="W38" s="4"/>
      <c r="X38" s="4"/>
      <c r="Y38" s="4"/>
      <c r="Z38" s="4"/>
      <c r="AA38" s="4"/>
      <c r="AB38" s="4"/>
      <c r="AC38" s="4"/>
      <c r="AD38" s="4" t="s">
        <v>43</v>
      </c>
      <c r="AE38" s="4" t="s">
        <v>222</v>
      </c>
      <c r="AF38" s="4" t="s">
        <v>197</v>
      </c>
      <c r="AG38" s="5" t="s">
        <v>223</v>
      </c>
      <c r="AH38" s="5" t="s">
        <v>65</v>
      </c>
      <c r="AI38" s="5" t="s">
        <v>45</v>
      </c>
    </row>
    <row r="39" customFormat="false" ht="15" hidden="false" customHeight="true" outlineLevel="0" collapsed="false">
      <c r="A39" s="3" t="s">
        <v>224</v>
      </c>
      <c r="B39" s="4" t="s">
        <v>155</v>
      </c>
      <c r="C39" s="4"/>
      <c r="D39" s="4" t="s">
        <v>37</v>
      </c>
      <c r="E39" s="4" t="s">
        <v>54</v>
      </c>
      <c r="F39" s="4" t="s">
        <v>55</v>
      </c>
      <c r="G39" s="4" t="s">
        <v>40</v>
      </c>
      <c r="H39" s="4"/>
      <c r="I39" s="4" t="s">
        <v>225</v>
      </c>
      <c r="J39" s="4" t="s">
        <v>50</v>
      </c>
      <c r="K39" s="4" t="s">
        <v>226</v>
      </c>
      <c r="L39" s="4" t="s">
        <v>58</v>
      </c>
      <c r="M39" s="4" t="s">
        <v>58</v>
      </c>
      <c r="N39" s="4" t="s">
        <v>58</v>
      </c>
      <c r="O39" s="4" t="s">
        <v>58</v>
      </c>
      <c r="P39" s="4" t="s">
        <v>58</v>
      </c>
      <c r="Q39" s="4" t="s">
        <v>58</v>
      </c>
      <c r="R39" s="6" t="n">
        <v>4.418</v>
      </c>
      <c r="S39" s="6" t="n">
        <v>42.472</v>
      </c>
      <c r="T39" s="4"/>
      <c r="U39" s="4" t="s">
        <v>42</v>
      </c>
      <c r="V39" s="4" t="s">
        <v>100</v>
      </c>
      <c r="W39" s="4" t="s">
        <v>58</v>
      </c>
      <c r="X39" s="4" t="s">
        <v>60</v>
      </c>
      <c r="Y39" s="4" t="s">
        <v>58</v>
      </c>
      <c r="Z39" s="4" t="s">
        <v>227</v>
      </c>
      <c r="AA39" s="6" t="n">
        <v>41.29</v>
      </c>
      <c r="AB39" s="6" t="n">
        <v>22.275</v>
      </c>
      <c r="AC39" s="6" t="n">
        <v>20.197</v>
      </c>
      <c r="AD39" s="4" t="s">
        <v>43</v>
      </c>
      <c r="AE39" s="4" t="s">
        <v>62</v>
      </c>
      <c r="AF39" s="4" t="s">
        <v>63</v>
      </c>
      <c r="AG39" s="5" t="s">
        <v>228</v>
      </c>
      <c r="AH39" s="5" t="s">
        <v>65</v>
      </c>
      <c r="AI39" s="5" t="s">
        <v>45</v>
      </c>
    </row>
    <row r="40" customFormat="false" ht="15" hidden="false" customHeight="true" outlineLevel="0" collapsed="false">
      <c r="A40" s="3" t="s">
        <v>229</v>
      </c>
      <c r="B40" s="4" t="s">
        <v>230</v>
      </c>
      <c r="C40" s="4"/>
      <c r="D40" s="4" t="s">
        <v>231</v>
      </c>
      <c r="E40" s="4" t="s">
        <v>38</v>
      </c>
      <c r="F40" s="4" t="s">
        <v>39</v>
      </c>
      <c r="G40" s="4" t="s">
        <v>40</v>
      </c>
      <c r="H40" s="4"/>
      <c r="I40" s="4" t="s">
        <v>232</v>
      </c>
      <c r="J40" s="4" t="s">
        <v>50</v>
      </c>
      <c r="K40" s="4" t="s">
        <v>51</v>
      </c>
      <c r="L40" s="4"/>
      <c r="M40" s="4"/>
      <c r="N40" s="4"/>
      <c r="O40" s="4"/>
      <c r="P40" s="4"/>
      <c r="Q40" s="4"/>
      <c r="R40" s="4"/>
      <c r="S40" s="4"/>
      <c r="T40" s="4"/>
      <c r="U40" s="4" t="s">
        <v>42</v>
      </c>
      <c r="V40" s="4"/>
      <c r="W40" s="4"/>
      <c r="X40" s="4"/>
      <c r="Y40" s="4"/>
      <c r="Z40" s="4"/>
      <c r="AA40" s="4"/>
      <c r="AB40" s="4"/>
      <c r="AC40" s="4"/>
      <c r="AD40" s="4" t="s">
        <v>43</v>
      </c>
      <c r="AE40" s="4"/>
      <c r="AF40" s="4"/>
      <c r="AG40" s="5" t="s">
        <v>233</v>
      </c>
      <c r="AI40" s="5" t="s">
        <v>45</v>
      </c>
    </row>
    <row r="41" customFormat="false" ht="15" hidden="false" customHeight="true" outlineLevel="0" collapsed="false">
      <c r="A41" s="3" t="s">
        <v>234</v>
      </c>
      <c r="B41" s="4" t="s">
        <v>230</v>
      </c>
      <c r="C41" s="4"/>
      <c r="D41" s="4" t="s">
        <v>231</v>
      </c>
      <c r="E41" s="4" t="s">
        <v>47</v>
      </c>
      <c r="F41" s="4" t="s">
        <v>48</v>
      </c>
      <c r="G41" s="4" t="s">
        <v>40</v>
      </c>
      <c r="H41" s="4"/>
      <c r="I41" s="4" t="s">
        <v>235</v>
      </c>
      <c r="J41" s="4" t="s">
        <v>236</v>
      </c>
      <c r="K41" s="4" t="s">
        <v>51</v>
      </c>
      <c r="L41" s="4" t="s">
        <v>58</v>
      </c>
      <c r="M41" s="4" t="s">
        <v>58</v>
      </c>
      <c r="N41" s="4"/>
      <c r="O41" s="4"/>
      <c r="P41" s="4"/>
      <c r="Q41" s="4"/>
      <c r="R41" s="4"/>
      <c r="S41" s="4"/>
      <c r="T41" s="4"/>
      <c r="U41" s="4" t="s">
        <v>42</v>
      </c>
      <c r="V41" s="4"/>
      <c r="W41" s="4"/>
      <c r="X41" s="4"/>
      <c r="Y41" s="4"/>
      <c r="Z41" s="4"/>
      <c r="AA41" s="4"/>
      <c r="AB41" s="4"/>
      <c r="AC41" s="4"/>
      <c r="AD41" s="4" t="s">
        <v>43</v>
      </c>
      <c r="AE41" s="4"/>
      <c r="AF41" s="4"/>
      <c r="AG41" s="5" t="s">
        <v>237</v>
      </c>
      <c r="AI41" s="5" t="s">
        <v>45</v>
      </c>
    </row>
    <row r="42" customFormat="false" ht="15" hidden="false" customHeight="true" outlineLevel="0" collapsed="false">
      <c r="A42" s="3" t="s">
        <v>238</v>
      </c>
      <c r="B42" s="4" t="s">
        <v>230</v>
      </c>
      <c r="C42" s="4"/>
      <c r="D42" s="4" t="s">
        <v>231</v>
      </c>
      <c r="E42" s="4" t="s">
        <v>54</v>
      </c>
      <c r="F42" s="4" t="s">
        <v>55</v>
      </c>
      <c r="G42" s="4" t="s">
        <v>40</v>
      </c>
      <c r="H42" s="4"/>
      <c r="I42" s="4" t="s">
        <v>239</v>
      </c>
      <c r="J42" s="4" t="s">
        <v>236</v>
      </c>
      <c r="K42" s="4" t="s">
        <v>51</v>
      </c>
      <c r="L42" s="4" t="s">
        <v>58</v>
      </c>
      <c r="M42" s="4" t="s">
        <v>58</v>
      </c>
      <c r="N42" s="4" t="s">
        <v>58</v>
      </c>
      <c r="O42" s="4" t="s">
        <v>58</v>
      </c>
      <c r="P42" s="4" t="s">
        <v>58</v>
      </c>
      <c r="Q42" s="4" t="s">
        <v>58</v>
      </c>
      <c r="R42" s="6" t="n">
        <v>3.806</v>
      </c>
      <c r="S42" s="6" t="n">
        <v>50.999</v>
      </c>
      <c r="T42" s="4"/>
      <c r="U42" s="4" t="s">
        <v>42</v>
      </c>
      <c r="V42" s="4" t="s">
        <v>59</v>
      </c>
      <c r="W42" s="4" t="s">
        <v>58</v>
      </c>
      <c r="X42" s="4"/>
      <c r="Y42" s="4" t="s">
        <v>58</v>
      </c>
      <c r="Z42" s="4" t="s">
        <v>240</v>
      </c>
      <c r="AA42" s="6" t="n">
        <v>44.711</v>
      </c>
      <c r="AB42" s="6" t="n">
        <v>30.328</v>
      </c>
      <c r="AC42" s="6" t="n">
        <v>20.671</v>
      </c>
      <c r="AD42" s="4" t="s">
        <v>43</v>
      </c>
      <c r="AE42" s="4" t="s">
        <v>241</v>
      </c>
      <c r="AF42" s="4" t="s">
        <v>63</v>
      </c>
      <c r="AG42" s="5" t="s">
        <v>242</v>
      </c>
      <c r="AH42" s="5" t="s">
        <v>65</v>
      </c>
      <c r="AI42" s="5" t="s">
        <v>45</v>
      </c>
    </row>
    <row r="43" customFormat="false" ht="15" hidden="false" customHeight="true" outlineLevel="0" collapsed="false">
      <c r="A43" s="3" t="s">
        <v>243</v>
      </c>
      <c r="B43" s="4" t="s">
        <v>230</v>
      </c>
      <c r="C43" s="4"/>
      <c r="D43" s="4" t="s">
        <v>231</v>
      </c>
      <c r="E43" s="4" t="s">
        <v>67</v>
      </c>
      <c r="F43" s="4" t="s">
        <v>68</v>
      </c>
      <c r="G43" s="4" t="s">
        <v>40</v>
      </c>
      <c r="H43" s="4" t="s">
        <v>123</v>
      </c>
      <c r="I43" s="4" t="s">
        <v>244</v>
      </c>
      <c r="J43" s="4" t="s">
        <v>245</v>
      </c>
      <c r="K43" s="4" t="s">
        <v>226</v>
      </c>
      <c r="L43" s="4" t="s">
        <v>58</v>
      </c>
      <c r="M43" s="4" t="s">
        <v>58</v>
      </c>
      <c r="N43" s="4" t="s">
        <v>58</v>
      </c>
      <c r="O43" s="4" t="s">
        <v>58</v>
      </c>
      <c r="P43" s="4" t="s">
        <v>58</v>
      </c>
      <c r="Q43" s="4" t="s">
        <v>58</v>
      </c>
      <c r="R43" s="6" t="n">
        <v>15.695</v>
      </c>
      <c r="S43" s="6" t="n">
        <v>55.942</v>
      </c>
      <c r="T43" s="4"/>
      <c r="U43" s="4" t="s">
        <v>42</v>
      </c>
      <c r="V43" s="4" t="s">
        <v>100</v>
      </c>
      <c r="W43" s="4" t="s">
        <v>58</v>
      </c>
      <c r="X43" s="4" t="s">
        <v>60</v>
      </c>
      <c r="Y43" s="4" t="s">
        <v>58</v>
      </c>
      <c r="Z43" s="4" t="s">
        <v>246</v>
      </c>
      <c r="AA43" s="6" t="n">
        <v>53.752</v>
      </c>
      <c r="AB43" s="6" t="n">
        <v>22.652</v>
      </c>
      <c r="AC43" s="6" t="n">
        <v>33.29</v>
      </c>
      <c r="AD43" s="4" t="s">
        <v>43</v>
      </c>
      <c r="AE43" s="4" t="s">
        <v>247</v>
      </c>
      <c r="AF43" s="4" t="s">
        <v>63</v>
      </c>
      <c r="AG43" s="5" t="s">
        <v>248</v>
      </c>
      <c r="AH43" s="5" t="s">
        <v>65</v>
      </c>
      <c r="AI43" s="5" t="s">
        <v>45</v>
      </c>
    </row>
    <row r="44" customFormat="false" ht="15" hidden="false" customHeight="true" outlineLevel="0" collapsed="false">
      <c r="A44" s="3" t="s">
        <v>249</v>
      </c>
      <c r="B44" s="4" t="s">
        <v>230</v>
      </c>
      <c r="C44" s="4"/>
      <c r="D44" s="4" t="s">
        <v>231</v>
      </c>
      <c r="E44" s="4" t="s">
        <v>76</v>
      </c>
      <c r="F44" s="4" t="s">
        <v>77</v>
      </c>
      <c r="G44" s="4" t="s">
        <v>40</v>
      </c>
      <c r="H44" s="4"/>
      <c r="I44" s="4" t="s">
        <v>250</v>
      </c>
      <c r="J44" s="4" t="s">
        <v>245</v>
      </c>
      <c r="K44" s="4" t="s">
        <v>251</v>
      </c>
      <c r="L44" s="4" t="s">
        <v>58</v>
      </c>
      <c r="M44" s="4" t="s">
        <v>58</v>
      </c>
      <c r="N44" s="4" t="s">
        <v>58</v>
      </c>
      <c r="O44" s="4" t="s">
        <v>58</v>
      </c>
      <c r="P44" s="4" t="s">
        <v>58</v>
      </c>
      <c r="Q44" s="4" t="s">
        <v>58</v>
      </c>
      <c r="R44" s="6" t="n">
        <v>37.298</v>
      </c>
      <c r="S44" s="6" t="n">
        <v>65.165</v>
      </c>
      <c r="T44" s="4"/>
      <c r="U44" s="4" t="s">
        <v>42</v>
      </c>
      <c r="V44" s="4" t="s">
        <v>59</v>
      </c>
      <c r="W44" s="4" t="s">
        <v>58</v>
      </c>
      <c r="X44" s="4" t="s">
        <v>60</v>
      </c>
      <c r="Y44" s="4" t="s">
        <v>58</v>
      </c>
      <c r="Z44" s="4" t="s">
        <v>252</v>
      </c>
      <c r="AA44" s="6" t="n">
        <v>62.936</v>
      </c>
      <c r="AB44" s="6" t="n">
        <v>33.064</v>
      </c>
      <c r="AC44" s="6" t="n">
        <v>32.101</v>
      </c>
      <c r="AD44" s="4" t="s">
        <v>43</v>
      </c>
      <c r="AE44" s="4" t="s">
        <v>73</v>
      </c>
      <c r="AF44" s="4" t="s">
        <v>63</v>
      </c>
      <c r="AG44" s="5" t="s">
        <v>253</v>
      </c>
      <c r="AH44" s="5" t="s">
        <v>65</v>
      </c>
      <c r="AI44" s="5" t="s">
        <v>45</v>
      </c>
    </row>
    <row r="45" customFormat="false" ht="15" hidden="false" customHeight="true" outlineLevel="0" collapsed="false">
      <c r="A45" s="3" t="s">
        <v>254</v>
      </c>
      <c r="B45" s="4" t="s">
        <v>230</v>
      </c>
      <c r="C45" s="4"/>
      <c r="D45" s="4" t="s">
        <v>231</v>
      </c>
      <c r="E45" s="4" t="s">
        <v>83</v>
      </c>
      <c r="F45" s="4" t="s">
        <v>84</v>
      </c>
      <c r="G45" s="4" t="s">
        <v>40</v>
      </c>
      <c r="H45" s="4"/>
      <c r="I45" s="4" t="s">
        <v>255</v>
      </c>
      <c r="J45" s="4" t="s">
        <v>99</v>
      </c>
      <c r="K45" s="4" t="s">
        <v>256</v>
      </c>
      <c r="L45" s="4" t="s">
        <v>58</v>
      </c>
      <c r="M45" s="4" t="s">
        <v>58</v>
      </c>
      <c r="N45" s="4" t="s">
        <v>58</v>
      </c>
      <c r="O45" s="4" t="s">
        <v>58</v>
      </c>
      <c r="P45" s="4" t="s">
        <v>58</v>
      </c>
      <c r="Q45" s="4" t="s">
        <v>58</v>
      </c>
      <c r="R45" s="6" t="n">
        <v>10.847</v>
      </c>
      <c r="S45" s="6" t="n">
        <v>70.604</v>
      </c>
      <c r="T45" s="4"/>
      <c r="U45" s="4" t="s">
        <v>42</v>
      </c>
      <c r="V45" s="4" t="s">
        <v>59</v>
      </c>
      <c r="W45" s="4" t="s">
        <v>58</v>
      </c>
      <c r="X45" s="4" t="s">
        <v>60</v>
      </c>
      <c r="Y45" s="4" t="s">
        <v>58</v>
      </c>
      <c r="Z45" s="4" t="s">
        <v>139</v>
      </c>
      <c r="AA45" s="6" t="n">
        <v>56.798</v>
      </c>
      <c r="AB45" s="6" t="n">
        <v>53.559</v>
      </c>
      <c r="AC45" s="6" t="n">
        <v>17.045</v>
      </c>
      <c r="AD45" s="4" t="s">
        <v>43</v>
      </c>
      <c r="AE45" s="4" t="s">
        <v>102</v>
      </c>
      <c r="AF45" s="4" t="s">
        <v>63</v>
      </c>
      <c r="AG45" s="5" t="s">
        <v>257</v>
      </c>
      <c r="AH45" s="5" t="s">
        <v>65</v>
      </c>
      <c r="AI45" s="5" t="s">
        <v>45</v>
      </c>
    </row>
    <row r="46" customFormat="false" ht="15" hidden="false" customHeight="true" outlineLevel="0" collapsed="false">
      <c r="A46" s="3" t="s">
        <v>258</v>
      </c>
      <c r="B46" s="4" t="s">
        <v>230</v>
      </c>
      <c r="C46" s="4"/>
      <c r="D46" s="4" t="s">
        <v>231</v>
      </c>
      <c r="E46" s="4" t="s">
        <v>150</v>
      </c>
      <c r="F46" s="4" t="s">
        <v>151</v>
      </c>
      <c r="G46" s="4" t="s">
        <v>40</v>
      </c>
      <c r="H46" s="4"/>
      <c r="I46" s="4" t="s">
        <v>259</v>
      </c>
      <c r="J46" s="4" t="s">
        <v>51</v>
      </c>
      <c r="K46" s="4" t="s">
        <v>51</v>
      </c>
      <c r="L46" s="4"/>
      <c r="M46" s="4"/>
      <c r="N46" s="4"/>
      <c r="O46" s="4"/>
      <c r="P46" s="4"/>
      <c r="Q46" s="4"/>
      <c r="R46" s="6" t="n">
        <v>36.438</v>
      </c>
      <c r="S46" s="4"/>
      <c r="T46" s="4"/>
      <c r="U46" s="4" t="s">
        <v>42</v>
      </c>
      <c r="V46" s="4" t="s">
        <v>100</v>
      </c>
      <c r="W46" s="4"/>
      <c r="X46" s="4"/>
      <c r="Y46" s="4"/>
      <c r="Z46" s="4"/>
      <c r="AA46" s="4"/>
      <c r="AB46" s="4"/>
      <c r="AC46" s="4"/>
      <c r="AD46" s="4" t="s">
        <v>43</v>
      </c>
      <c r="AE46" s="4" t="s">
        <v>161</v>
      </c>
      <c r="AF46" s="4" t="s">
        <v>197</v>
      </c>
      <c r="AG46" s="5" t="s">
        <v>260</v>
      </c>
      <c r="AH46" s="5" t="s">
        <v>65</v>
      </c>
      <c r="AI46" s="5" t="s">
        <v>45</v>
      </c>
    </row>
    <row r="47" customFormat="false" ht="15" hidden="false" customHeight="true" outlineLevel="0" collapsed="false">
      <c r="A47" s="3" t="s">
        <v>261</v>
      </c>
      <c r="B47" s="4" t="s">
        <v>230</v>
      </c>
      <c r="C47" s="4"/>
      <c r="D47" s="4" t="s">
        <v>231</v>
      </c>
      <c r="E47" s="4" t="s">
        <v>38</v>
      </c>
      <c r="F47" s="4" t="s">
        <v>39</v>
      </c>
      <c r="G47" s="4" t="s">
        <v>40</v>
      </c>
      <c r="H47" s="4"/>
      <c r="I47" s="4" t="s">
        <v>262</v>
      </c>
      <c r="J47" s="4" t="s">
        <v>50</v>
      </c>
      <c r="K47" s="4" t="s">
        <v>51</v>
      </c>
      <c r="L47" s="4"/>
      <c r="M47" s="4"/>
      <c r="N47" s="4"/>
      <c r="O47" s="4"/>
      <c r="P47" s="4"/>
      <c r="Q47" s="4"/>
      <c r="R47" s="4"/>
      <c r="S47" s="4"/>
      <c r="T47" s="4"/>
      <c r="U47" s="4" t="s">
        <v>42</v>
      </c>
      <c r="V47" s="4"/>
      <c r="W47" s="4"/>
      <c r="X47" s="4"/>
      <c r="Y47" s="4"/>
      <c r="Z47" s="4"/>
      <c r="AA47" s="4"/>
      <c r="AB47" s="4"/>
      <c r="AC47" s="4"/>
      <c r="AD47" s="4" t="s">
        <v>43</v>
      </c>
      <c r="AE47" s="4"/>
      <c r="AF47" s="4"/>
      <c r="AG47" s="5" t="s">
        <v>263</v>
      </c>
      <c r="AI47" s="5" t="s">
        <v>45</v>
      </c>
    </row>
    <row r="48" customFormat="false" ht="15" hidden="false" customHeight="true" outlineLevel="0" collapsed="false">
      <c r="A48" s="3" t="s">
        <v>264</v>
      </c>
      <c r="B48" s="4" t="s">
        <v>230</v>
      </c>
      <c r="C48" s="4"/>
      <c r="D48" s="4" t="s">
        <v>231</v>
      </c>
      <c r="E48" s="4" t="s">
        <v>47</v>
      </c>
      <c r="F48" s="4" t="s">
        <v>48</v>
      </c>
      <c r="G48" s="4" t="s">
        <v>40</v>
      </c>
      <c r="H48" s="4"/>
      <c r="I48" s="4" t="s">
        <v>265</v>
      </c>
      <c r="J48" s="4" t="s">
        <v>266</v>
      </c>
      <c r="K48" s="4" t="s">
        <v>51</v>
      </c>
      <c r="L48" s="4" t="s">
        <v>58</v>
      </c>
      <c r="M48" s="4"/>
      <c r="N48" s="4"/>
      <c r="O48" s="4"/>
      <c r="P48" s="4"/>
      <c r="Q48" s="4" t="s">
        <v>58</v>
      </c>
      <c r="R48" s="4"/>
      <c r="S48" s="4"/>
      <c r="T48" s="4"/>
      <c r="U48" s="4" t="s">
        <v>42</v>
      </c>
      <c r="V48" s="4"/>
      <c r="W48" s="4"/>
      <c r="X48" s="4"/>
      <c r="Y48" s="4"/>
      <c r="Z48" s="4"/>
      <c r="AA48" s="4"/>
      <c r="AB48" s="4"/>
      <c r="AC48" s="4"/>
      <c r="AD48" s="4" t="s">
        <v>43</v>
      </c>
      <c r="AE48" s="4"/>
      <c r="AF48" s="4"/>
      <c r="AG48" s="5" t="s">
        <v>267</v>
      </c>
      <c r="AI48" s="5" t="s">
        <v>45</v>
      </c>
    </row>
    <row r="49" customFormat="false" ht="15" hidden="false" customHeight="true" outlineLevel="0" collapsed="false">
      <c r="A49" s="3" t="s">
        <v>268</v>
      </c>
      <c r="B49" s="4" t="s">
        <v>230</v>
      </c>
      <c r="C49" s="4"/>
      <c r="D49" s="4" t="s">
        <v>231</v>
      </c>
      <c r="E49" s="4" t="s">
        <v>54</v>
      </c>
      <c r="F49" s="4" t="s">
        <v>55</v>
      </c>
      <c r="G49" s="4" t="s">
        <v>40</v>
      </c>
      <c r="H49" s="4"/>
      <c r="I49" s="4" t="s">
        <v>269</v>
      </c>
      <c r="J49" s="4" t="s">
        <v>99</v>
      </c>
      <c r="K49" s="4" t="s">
        <v>110</v>
      </c>
      <c r="L49" s="4" t="s">
        <v>58</v>
      </c>
      <c r="M49" s="4" t="s">
        <v>58</v>
      </c>
      <c r="N49" s="4" t="s">
        <v>58</v>
      </c>
      <c r="O49" s="4" t="s">
        <v>58</v>
      </c>
      <c r="P49" s="4" t="s">
        <v>58</v>
      </c>
      <c r="Q49" s="4" t="s">
        <v>58</v>
      </c>
      <c r="R49" s="6" t="n">
        <v>5.313</v>
      </c>
      <c r="S49" s="6" t="n">
        <v>31.458</v>
      </c>
      <c r="T49" s="4"/>
      <c r="U49" s="4" t="s">
        <v>42</v>
      </c>
      <c r="V49" s="4" t="s">
        <v>100</v>
      </c>
      <c r="W49" s="4" t="s">
        <v>106</v>
      </c>
      <c r="X49" s="4" t="s">
        <v>60</v>
      </c>
      <c r="Y49" s="4" t="s">
        <v>106</v>
      </c>
      <c r="Z49" s="4" t="s">
        <v>270</v>
      </c>
      <c r="AA49" s="6" t="n">
        <v>29.264</v>
      </c>
      <c r="AB49" s="6" t="n">
        <v>12.644</v>
      </c>
      <c r="AC49" s="6" t="n">
        <v>18.814</v>
      </c>
      <c r="AD49" s="4" t="s">
        <v>43</v>
      </c>
      <c r="AE49" s="4" t="s">
        <v>102</v>
      </c>
      <c r="AF49" s="4" t="s">
        <v>63</v>
      </c>
      <c r="AG49" s="5" t="s">
        <v>271</v>
      </c>
      <c r="AH49" s="5" t="s">
        <v>65</v>
      </c>
      <c r="AI49" s="5" t="s">
        <v>45</v>
      </c>
    </row>
    <row r="50" customFormat="false" ht="15" hidden="false" customHeight="true" outlineLevel="0" collapsed="false">
      <c r="A50" s="3" t="s">
        <v>272</v>
      </c>
      <c r="B50" s="4" t="s">
        <v>230</v>
      </c>
      <c r="C50" s="4"/>
      <c r="D50" s="4" t="s">
        <v>231</v>
      </c>
      <c r="E50" s="4" t="s">
        <v>67</v>
      </c>
      <c r="F50" s="4" t="s">
        <v>68</v>
      </c>
      <c r="G50" s="4" t="s">
        <v>40</v>
      </c>
      <c r="H50" s="4"/>
      <c r="I50" s="4" t="s">
        <v>273</v>
      </c>
      <c r="J50" s="4" t="s">
        <v>78</v>
      </c>
      <c r="K50" s="4" t="s">
        <v>110</v>
      </c>
      <c r="L50" s="4" t="s">
        <v>58</v>
      </c>
      <c r="M50" s="4" t="s">
        <v>58</v>
      </c>
      <c r="N50" s="4" t="s">
        <v>58</v>
      </c>
      <c r="O50" s="4" t="s">
        <v>106</v>
      </c>
      <c r="P50" s="4" t="s">
        <v>58</v>
      </c>
      <c r="Q50" s="4" t="s">
        <v>58</v>
      </c>
      <c r="R50" s="6" t="n">
        <v>53.848</v>
      </c>
      <c r="S50" s="6" t="n">
        <v>84.49</v>
      </c>
      <c r="T50" s="4" t="s">
        <v>274</v>
      </c>
      <c r="U50" s="4" t="s">
        <v>42</v>
      </c>
      <c r="V50" s="4" t="s">
        <v>100</v>
      </c>
      <c r="W50" s="4" t="s">
        <v>58</v>
      </c>
      <c r="X50" s="4" t="s">
        <v>60</v>
      </c>
      <c r="Y50" s="4" t="s">
        <v>58</v>
      </c>
      <c r="Z50" s="4" t="s">
        <v>186</v>
      </c>
      <c r="AA50" s="6" t="n">
        <v>82.585</v>
      </c>
      <c r="AB50" s="6" t="n">
        <v>17.351</v>
      </c>
      <c r="AC50" s="6" t="n">
        <v>67.139</v>
      </c>
      <c r="AD50" s="4" t="s">
        <v>43</v>
      </c>
      <c r="AE50" s="4" t="s">
        <v>275</v>
      </c>
      <c r="AF50" s="4" t="s">
        <v>63</v>
      </c>
      <c r="AG50" s="5" t="s">
        <v>276</v>
      </c>
      <c r="AH50" s="5" t="s">
        <v>65</v>
      </c>
      <c r="AI50" s="5" t="s">
        <v>45</v>
      </c>
    </row>
    <row r="51" customFormat="false" ht="15" hidden="false" customHeight="true" outlineLevel="0" collapsed="false">
      <c r="A51" s="3" t="s">
        <v>277</v>
      </c>
      <c r="B51" s="4" t="s">
        <v>230</v>
      </c>
      <c r="C51" s="4"/>
      <c r="D51" s="4" t="s">
        <v>231</v>
      </c>
      <c r="E51" s="4" t="s">
        <v>83</v>
      </c>
      <c r="F51" s="4" t="s">
        <v>84</v>
      </c>
      <c r="G51" s="4" t="s">
        <v>40</v>
      </c>
      <c r="H51" s="4" t="s">
        <v>85</v>
      </c>
      <c r="I51" s="4" t="s">
        <v>278</v>
      </c>
      <c r="J51" s="4" t="s">
        <v>70</v>
      </c>
      <c r="K51" s="4" t="s">
        <v>71</v>
      </c>
      <c r="L51" s="4" t="s">
        <v>58</v>
      </c>
      <c r="M51" s="4" t="s">
        <v>58</v>
      </c>
      <c r="N51" s="4" t="s">
        <v>58</v>
      </c>
      <c r="O51" s="4" t="s">
        <v>58</v>
      </c>
      <c r="P51" s="4" t="s">
        <v>58</v>
      </c>
      <c r="Q51" s="4" t="s">
        <v>58</v>
      </c>
      <c r="R51" s="6" t="n">
        <v>8.105</v>
      </c>
      <c r="S51" s="6" t="n">
        <v>33.934</v>
      </c>
      <c r="T51" s="4"/>
      <c r="U51" s="4" t="s">
        <v>42</v>
      </c>
      <c r="V51" s="4" t="s">
        <v>59</v>
      </c>
      <c r="W51" s="4" t="s">
        <v>58</v>
      </c>
      <c r="X51" s="4" t="s">
        <v>60</v>
      </c>
      <c r="Y51" s="4" t="s">
        <v>58</v>
      </c>
      <c r="Z51" s="4" t="s">
        <v>252</v>
      </c>
      <c r="AA51" s="6" t="n">
        <v>28.794</v>
      </c>
      <c r="AB51" s="6" t="n">
        <v>15.158</v>
      </c>
      <c r="AC51" s="6" t="n">
        <v>18.776</v>
      </c>
      <c r="AD51" s="4" t="s">
        <v>43</v>
      </c>
      <c r="AE51" s="4" t="s">
        <v>73</v>
      </c>
      <c r="AF51" s="4" t="s">
        <v>63</v>
      </c>
      <c r="AG51" s="5" t="s">
        <v>279</v>
      </c>
      <c r="AH51" s="5" t="s">
        <v>65</v>
      </c>
      <c r="AI51" s="5" t="s">
        <v>45</v>
      </c>
    </row>
    <row r="52" customFormat="false" ht="15" hidden="false" customHeight="true" outlineLevel="0" collapsed="false">
      <c r="A52" s="3" t="s">
        <v>280</v>
      </c>
      <c r="B52" s="4" t="s">
        <v>230</v>
      </c>
      <c r="C52" s="4"/>
      <c r="D52" s="4" t="s">
        <v>231</v>
      </c>
      <c r="E52" s="4" t="s">
        <v>150</v>
      </c>
      <c r="F52" s="4" t="s">
        <v>151</v>
      </c>
      <c r="G52" s="4" t="s">
        <v>40</v>
      </c>
      <c r="H52" s="4"/>
      <c r="I52" s="4" t="s">
        <v>281</v>
      </c>
      <c r="J52" s="4" t="s">
        <v>51</v>
      </c>
      <c r="K52" s="4" t="s">
        <v>51</v>
      </c>
      <c r="L52" s="4"/>
      <c r="M52" s="4"/>
      <c r="N52" s="4"/>
      <c r="O52" s="4"/>
      <c r="P52" s="4"/>
      <c r="Q52" s="4"/>
      <c r="R52" s="6" t="n">
        <v>5.262</v>
      </c>
      <c r="S52" s="4"/>
      <c r="T52" s="4"/>
      <c r="U52" s="4" t="s">
        <v>42</v>
      </c>
      <c r="V52" s="4" t="s">
        <v>100</v>
      </c>
      <c r="W52" s="4"/>
      <c r="X52" s="4"/>
      <c r="Y52" s="4"/>
      <c r="Z52" s="4"/>
      <c r="AA52" s="4"/>
      <c r="AB52" s="4"/>
      <c r="AC52" s="4"/>
      <c r="AD52" s="4" t="s">
        <v>43</v>
      </c>
      <c r="AE52" s="4" t="s">
        <v>222</v>
      </c>
      <c r="AF52" s="4" t="s">
        <v>197</v>
      </c>
      <c r="AG52" s="5" t="s">
        <v>282</v>
      </c>
      <c r="AH52" s="5" t="s">
        <v>65</v>
      </c>
      <c r="AI52" s="5" t="s">
        <v>45</v>
      </c>
    </row>
    <row r="53" customFormat="false" ht="15" hidden="false" customHeight="true" outlineLevel="0" collapsed="false">
      <c r="A53" s="3" t="s">
        <v>283</v>
      </c>
      <c r="B53" s="4" t="s">
        <v>230</v>
      </c>
      <c r="C53" s="4"/>
      <c r="D53" s="4" t="s">
        <v>231</v>
      </c>
      <c r="E53" s="4" t="s">
        <v>38</v>
      </c>
      <c r="F53" s="4" t="s">
        <v>39</v>
      </c>
      <c r="G53" s="4" t="s">
        <v>40</v>
      </c>
      <c r="H53" s="4"/>
      <c r="I53" s="4" t="s">
        <v>284</v>
      </c>
      <c r="J53" s="4" t="s">
        <v>51</v>
      </c>
      <c r="K53" s="4" t="s">
        <v>51</v>
      </c>
      <c r="L53" s="4"/>
      <c r="M53" s="4"/>
      <c r="N53" s="4"/>
      <c r="O53" s="4"/>
      <c r="P53" s="4"/>
      <c r="Q53" s="4"/>
      <c r="R53" s="4"/>
      <c r="S53" s="4"/>
      <c r="T53" s="4"/>
      <c r="U53" s="4" t="s">
        <v>42</v>
      </c>
      <c r="V53" s="4"/>
      <c r="W53" s="4"/>
      <c r="X53" s="4"/>
      <c r="Y53" s="4"/>
      <c r="Z53" s="4"/>
      <c r="AA53" s="4"/>
      <c r="AB53" s="4"/>
      <c r="AC53" s="4"/>
      <c r="AD53" s="4" t="s">
        <v>43</v>
      </c>
      <c r="AE53" s="4"/>
      <c r="AF53" s="4"/>
      <c r="AG53" s="5" t="s">
        <v>285</v>
      </c>
      <c r="AI53" s="5" t="s">
        <v>45</v>
      </c>
    </row>
    <row r="54" customFormat="false" ht="15" hidden="false" customHeight="true" outlineLevel="0" collapsed="false">
      <c r="A54" s="3" t="s">
        <v>286</v>
      </c>
      <c r="B54" s="4" t="s">
        <v>230</v>
      </c>
      <c r="C54" s="4"/>
      <c r="D54" s="4" t="s">
        <v>231</v>
      </c>
      <c r="E54" s="4" t="s">
        <v>47</v>
      </c>
      <c r="F54" s="4" t="s">
        <v>48</v>
      </c>
      <c r="G54" s="4" t="s">
        <v>40</v>
      </c>
      <c r="H54" s="4"/>
      <c r="I54" s="4" t="s">
        <v>287</v>
      </c>
      <c r="J54" s="4" t="s">
        <v>288</v>
      </c>
      <c r="K54" s="4" t="s">
        <v>51</v>
      </c>
      <c r="L54" s="4"/>
      <c r="M54" s="4"/>
      <c r="N54" s="4"/>
      <c r="O54" s="4"/>
      <c r="P54" s="4"/>
      <c r="Q54" s="4"/>
      <c r="R54" s="4"/>
      <c r="S54" s="4"/>
      <c r="T54" s="4"/>
      <c r="U54" s="4" t="s">
        <v>42</v>
      </c>
      <c r="V54" s="4"/>
      <c r="W54" s="4"/>
      <c r="X54" s="4"/>
      <c r="Y54" s="4"/>
      <c r="Z54" s="4"/>
      <c r="AA54" s="4"/>
      <c r="AB54" s="4"/>
      <c r="AC54" s="4"/>
      <c r="AD54" s="4" t="s">
        <v>43</v>
      </c>
      <c r="AE54" s="4"/>
      <c r="AF54" s="4"/>
      <c r="AG54" s="5" t="s">
        <v>289</v>
      </c>
      <c r="AI54" s="5" t="s">
        <v>45</v>
      </c>
    </row>
    <row r="55" customFormat="false" ht="15" hidden="false" customHeight="true" outlineLevel="0" collapsed="false">
      <c r="A55" s="3" t="s">
        <v>290</v>
      </c>
      <c r="B55" s="4" t="s">
        <v>230</v>
      </c>
      <c r="C55" s="4"/>
      <c r="D55" s="4" t="s">
        <v>231</v>
      </c>
      <c r="E55" s="4" t="s">
        <v>54</v>
      </c>
      <c r="F55" s="4" t="s">
        <v>55</v>
      </c>
      <c r="G55" s="4" t="s">
        <v>40</v>
      </c>
      <c r="H55" s="4"/>
      <c r="I55" s="4" t="s">
        <v>291</v>
      </c>
      <c r="J55" s="4" t="s">
        <v>99</v>
      </c>
      <c r="K55" s="4" t="s">
        <v>71</v>
      </c>
      <c r="L55" s="4" t="s">
        <v>58</v>
      </c>
      <c r="M55" s="4" t="s">
        <v>58</v>
      </c>
      <c r="N55" s="4" t="s">
        <v>58</v>
      </c>
      <c r="O55" s="4" t="s">
        <v>58</v>
      </c>
      <c r="P55" s="4" t="s">
        <v>58</v>
      </c>
      <c r="Q55" s="4" t="s">
        <v>58</v>
      </c>
      <c r="R55" s="6" t="n">
        <v>2.955</v>
      </c>
      <c r="S55" s="6" t="n">
        <v>37.326</v>
      </c>
      <c r="T55" s="4"/>
      <c r="U55" s="4" t="s">
        <v>42</v>
      </c>
      <c r="V55" s="4" t="s">
        <v>59</v>
      </c>
      <c r="W55" s="4" t="s">
        <v>58</v>
      </c>
      <c r="X55" s="4" t="s">
        <v>60</v>
      </c>
      <c r="Y55" s="4" t="s">
        <v>58</v>
      </c>
      <c r="Z55" s="4" t="s">
        <v>292</v>
      </c>
      <c r="AA55" s="6" t="n">
        <v>32.105</v>
      </c>
      <c r="AB55" s="6" t="n">
        <v>20.652</v>
      </c>
      <c r="AC55" s="6" t="n">
        <v>16.674</v>
      </c>
      <c r="AD55" s="4" t="s">
        <v>43</v>
      </c>
      <c r="AE55" s="4" t="s">
        <v>102</v>
      </c>
      <c r="AF55" s="4" t="s">
        <v>63</v>
      </c>
      <c r="AG55" s="5" t="s">
        <v>293</v>
      </c>
      <c r="AH55" s="5" t="s">
        <v>65</v>
      </c>
      <c r="AI55" s="5" t="s">
        <v>45</v>
      </c>
    </row>
    <row r="56" customFormat="false" ht="15" hidden="false" customHeight="true" outlineLevel="0" collapsed="false">
      <c r="A56" s="3" t="s">
        <v>294</v>
      </c>
      <c r="B56" s="4" t="s">
        <v>230</v>
      </c>
      <c r="C56" s="4"/>
      <c r="D56" s="4" t="s">
        <v>231</v>
      </c>
      <c r="E56" s="4" t="s">
        <v>83</v>
      </c>
      <c r="F56" s="4" t="s">
        <v>84</v>
      </c>
      <c r="G56" s="4" t="s">
        <v>40</v>
      </c>
      <c r="H56" s="4"/>
      <c r="I56" s="4" t="s">
        <v>278</v>
      </c>
      <c r="J56" s="4" t="s">
        <v>236</v>
      </c>
      <c r="K56" s="4" t="s">
        <v>57</v>
      </c>
      <c r="L56" s="4" t="s">
        <v>58</v>
      </c>
      <c r="M56" s="4" t="s">
        <v>58</v>
      </c>
      <c r="N56" s="4" t="s">
        <v>58</v>
      </c>
      <c r="O56" s="4" t="s">
        <v>58</v>
      </c>
      <c r="P56" s="4" t="s">
        <v>58</v>
      </c>
      <c r="Q56" s="4" t="s">
        <v>58</v>
      </c>
      <c r="R56" s="6" t="n">
        <v>17.6</v>
      </c>
      <c r="S56" s="6" t="n">
        <v>79.419</v>
      </c>
      <c r="T56" s="4"/>
      <c r="U56" s="4" t="s">
        <v>42</v>
      </c>
      <c r="V56" s="4" t="s">
        <v>59</v>
      </c>
      <c r="W56" s="4" t="s">
        <v>58</v>
      </c>
      <c r="X56" s="4" t="s">
        <v>60</v>
      </c>
      <c r="Y56" s="4" t="s">
        <v>58</v>
      </c>
      <c r="Z56" s="4" t="s">
        <v>295</v>
      </c>
      <c r="AA56" s="6" t="n">
        <v>64.773</v>
      </c>
      <c r="AB56" s="6" t="n">
        <v>48.811</v>
      </c>
      <c r="AC56" s="6" t="n">
        <v>30.608</v>
      </c>
      <c r="AD56" s="4" t="s">
        <v>43</v>
      </c>
      <c r="AE56" s="4" t="s">
        <v>241</v>
      </c>
      <c r="AF56" s="4" t="s">
        <v>63</v>
      </c>
      <c r="AG56" s="5" t="s">
        <v>296</v>
      </c>
      <c r="AH56" s="5" t="s">
        <v>65</v>
      </c>
      <c r="AI56" s="5" t="s">
        <v>45</v>
      </c>
    </row>
    <row r="57" customFormat="false" ht="15" hidden="false" customHeight="true" outlineLevel="0" collapsed="false">
      <c r="A57" s="3" t="s">
        <v>297</v>
      </c>
      <c r="B57" s="4" t="s">
        <v>230</v>
      </c>
      <c r="C57" s="4"/>
      <c r="D57" s="4" t="s">
        <v>231</v>
      </c>
      <c r="E57" s="4" t="s">
        <v>67</v>
      </c>
      <c r="F57" s="4" t="s">
        <v>68</v>
      </c>
      <c r="G57" s="4" t="s">
        <v>40</v>
      </c>
      <c r="H57" s="4"/>
      <c r="I57" s="4" t="s">
        <v>298</v>
      </c>
      <c r="J57" s="4" t="s">
        <v>78</v>
      </c>
      <c r="K57" s="4" t="s">
        <v>57</v>
      </c>
      <c r="L57" s="4" t="s">
        <v>58</v>
      </c>
      <c r="M57" s="4" t="s">
        <v>58</v>
      </c>
      <c r="N57" s="4" t="s">
        <v>58</v>
      </c>
      <c r="O57" s="4" t="s">
        <v>58</v>
      </c>
      <c r="P57" s="4" t="s">
        <v>58</v>
      </c>
      <c r="Q57" s="4" t="s">
        <v>58</v>
      </c>
      <c r="R57" s="6" t="n">
        <v>21.687</v>
      </c>
      <c r="S57" s="6" t="n">
        <v>54.431</v>
      </c>
      <c r="T57" s="4"/>
      <c r="U57" s="4" t="s">
        <v>42</v>
      </c>
      <c r="V57" s="4" t="s">
        <v>59</v>
      </c>
      <c r="W57" s="4" t="s">
        <v>58</v>
      </c>
      <c r="X57" s="4"/>
      <c r="Y57" s="4" t="s">
        <v>58</v>
      </c>
      <c r="Z57" s="4" t="s">
        <v>299</v>
      </c>
      <c r="AA57" s="6" t="n">
        <v>48.152</v>
      </c>
      <c r="AB57" s="6" t="n">
        <v>12.314</v>
      </c>
      <c r="AC57" s="6" t="n">
        <v>42.117</v>
      </c>
      <c r="AD57" s="4" t="s">
        <v>43</v>
      </c>
      <c r="AE57" s="4" t="s">
        <v>73</v>
      </c>
      <c r="AF57" s="4" t="s">
        <v>63</v>
      </c>
      <c r="AG57" s="5" t="s">
        <v>300</v>
      </c>
      <c r="AH57" s="5" t="s">
        <v>65</v>
      </c>
      <c r="AI57" s="5" t="s">
        <v>45</v>
      </c>
    </row>
    <row r="58" customFormat="false" ht="15" hidden="false" customHeight="true" outlineLevel="0" collapsed="false">
      <c r="A58" s="3" t="s">
        <v>301</v>
      </c>
      <c r="B58" s="4" t="s">
        <v>230</v>
      </c>
      <c r="C58" s="4"/>
      <c r="D58" s="4" t="s">
        <v>231</v>
      </c>
      <c r="E58" s="4" t="s">
        <v>76</v>
      </c>
      <c r="F58" s="4" t="s">
        <v>77</v>
      </c>
      <c r="G58" s="4" t="s">
        <v>40</v>
      </c>
      <c r="H58" s="4"/>
      <c r="I58" s="4" t="s">
        <v>302</v>
      </c>
      <c r="J58" s="4" t="s">
        <v>303</v>
      </c>
      <c r="K58" s="4" t="s">
        <v>57</v>
      </c>
      <c r="L58" s="4" t="s">
        <v>58</v>
      </c>
      <c r="M58" s="4" t="s">
        <v>58</v>
      </c>
      <c r="N58" s="4" t="s">
        <v>58</v>
      </c>
      <c r="O58" s="4" t="s">
        <v>58</v>
      </c>
      <c r="P58" s="4" t="s">
        <v>58</v>
      </c>
      <c r="Q58" s="4" t="s">
        <v>58</v>
      </c>
      <c r="R58" s="6" t="n">
        <v>44.862</v>
      </c>
      <c r="S58" s="6" t="n">
        <v>80.67</v>
      </c>
      <c r="T58" s="4" t="s">
        <v>304</v>
      </c>
      <c r="U58" s="4" t="s">
        <v>42</v>
      </c>
      <c r="V58" s="4" t="s">
        <v>100</v>
      </c>
      <c r="W58" s="4" t="s">
        <v>58</v>
      </c>
      <c r="X58" s="4" t="s">
        <v>60</v>
      </c>
      <c r="Y58" s="4" t="s">
        <v>106</v>
      </c>
      <c r="Z58" s="4" t="s">
        <v>305</v>
      </c>
      <c r="AA58" s="6" t="n">
        <v>74.55</v>
      </c>
      <c r="AB58" s="6" t="n">
        <v>39.345</v>
      </c>
      <c r="AC58" s="6" t="n">
        <v>41.325</v>
      </c>
      <c r="AD58" s="4" t="s">
        <v>43</v>
      </c>
      <c r="AE58" s="4" t="s">
        <v>112</v>
      </c>
      <c r="AF58" s="4" t="s">
        <v>63</v>
      </c>
      <c r="AG58" s="5" t="s">
        <v>306</v>
      </c>
      <c r="AH58" s="5" t="s">
        <v>65</v>
      </c>
      <c r="AI58" s="5" t="s">
        <v>45</v>
      </c>
    </row>
    <row r="59" customFormat="false" ht="15" hidden="false" customHeight="true" outlineLevel="0" collapsed="false">
      <c r="A59" s="3" t="s">
        <v>307</v>
      </c>
      <c r="B59" s="4" t="s">
        <v>230</v>
      </c>
      <c r="C59" s="4"/>
      <c r="D59" s="4" t="s">
        <v>231</v>
      </c>
      <c r="E59" s="4" t="s">
        <v>150</v>
      </c>
      <c r="F59" s="4" t="s">
        <v>151</v>
      </c>
      <c r="G59" s="4" t="s">
        <v>40</v>
      </c>
      <c r="H59" s="4"/>
      <c r="I59" s="4" t="s">
        <v>308</v>
      </c>
      <c r="J59" s="4" t="s">
        <v>51</v>
      </c>
      <c r="K59" s="4" t="s">
        <v>51</v>
      </c>
      <c r="L59" s="4"/>
      <c r="M59" s="4"/>
      <c r="N59" s="4"/>
      <c r="O59" s="4"/>
      <c r="P59" s="4"/>
      <c r="Q59" s="4"/>
      <c r="R59" s="6" t="n">
        <v>2.713</v>
      </c>
      <c r="S59" s="4"/>
      <c r="T59" s="4"/>
      <c r="U59" s="4" t="s">
        <v>42</v>
      </c>
      <c r="V59" s="4" t="s">
        <v>100</v>
      </c>
      <c r="W59" s="4"/>
      <c r="X59" s="4"/>
      <c r="Y59" s="4"/>
      <c r="Z59" s="4"/>
      <c r="AA59" s="4"/>
      <c r="AB59" s="4"/>
      <c r="AC59" s="4"/>
      <c r="AD59" s="4" t="s">
        <v>43</v>
      </c>
      <c r="AE59" s="4" t="s">
        <v>161</v>
      </c>
      <c r="AF59" s="4" t="s">
        <v>197</v>
      </c>
      <c r="AG59" s="5" t="s">
        <v>309</v>
      </c>
      <c r="AH59" s="5" t="s">
        <v>65</v>
      </c>
      <c r="AI59" s="5" t="s">
        <v>45</v>
      </c>
    </row>
    <row r="60" customFormat="false" ht="15" hidden="false" customHeight="true" outlineLevel="0" collapsed="false">
      <c r="A60" s="3" t="s">
        <v>310</v>
      </c>
      <c r="B60" s="4" t="s">
        <v>230</v>
      </c>
      <c r="C60" s="4"/>
      <c r="D60" s="4" t="s">
        <v>231</v>
      </c>
      <c r="E60" s="4" t="s">
        <v>76</v>
      </c>
      <c r="F60" s="4" t="s">
        <v>77</v>
      </c>
      <c r="G60" s="4" t="s">
        <v>40</v>
      </c>
      <c r="H60" s="4"/>
      <c r="I60" s="4" t="s">
        <v>311</v>
      </c>
      <c r="J60" s="4" t="s">
        <v>78</v>
      </c>
      <c r="K60" s="4" t="s">
        <v>71</v>
      </c>
      <c r="L60" s="4" t="s">
        <v>58</v>
      </c>
      <c r="M60" s="4" t="s">
        <v>58</v>
      </c>
      <c r="N60" s="4" t="s">
        <v>58</v>
      </c>
      <c r="O60" s="4" t="s">
        <v>58</v>
      </c>
      <c r="P60" s="4" t="s">
        <v>58</v>
      </c>
      <c r="Q60" s="4" t="s">
        <v>58</v>
      </c>
      <c r="R60" s="6" t="n">
        <v>20.512</v>
      </c>
      <c r="S60" s="6" t="n">
        <v>53.603</v>
      </c>
      <c r="T60" s="4"/>
      <c r="U60" s="4" t="s">
        <v>42</v>
      </c>
      <c r="V60" s="4" t="s">
        <v>100</v>
      </c>
      <c r="W60" s="4" t="s">
        <v>106</v>
      </c>
      <c r="X60" s="4" t="s">
        <v>60</v>
      </c>
      <c r="Y60" s="4" t="s">
        <v>106</v>
      </c>
      <c r="Z60" s="4" t="s">
        <v>312</v>
      </c>
      <c r="AA60" s="6" t="n">
        <v>43.936</v>
      </c>
      <c r="AB60" s="6" t="n">
        <v>19.238</v>
      </c>
      <c r="AC60" s="6" t="n">
        <v>34.365</v>
      </c>
      <c r="AD60" s="4" t="s">
        <v>43</v>
      </c>
      <c r="AE60" s="4" t="s">
        <v>73</v>
      </c>
      <c r="AF60" s="4" t="s">
        <v>63</v>
      </c>
      <c r="AG60" s="5" t="s">
        <v>313</v>
      </c>
      <c r="AH60" s="5" t="s">
        <v>65</v>
      </c>
      <c r="AI60" s="5" t="s">
        <v>45</v>
      </c>
    </row>
    <row r="61" customFormat="false" ht="13.5" hidden="false" customHeight="true" outlineLevel="0" collapsed="false">
      <c r="A61" s="3" t="s">
        <v>314</v>
      </c>
      <c r="B61" s="4" t="s">
        <v>230</v>
      </c>
      <c r="C61" s="4"/>
      <c r="D61" s="4" t="s">
        <v>231</v>
      </c>
      <c r="E61" s="4" t="s">
        <v>38</v>
      </c>
      <c r="F61" s="4" t="s">
        <v>39</v>
      </c>
      <c r="G61" s="4" t="s">
        <v>40</v>
      </c>
      <c r="H61" s="4"/>
      <c r="I61" s="4" t="s">
        <v>315</v>
      </c>
      <c r="J61" s="4" t="s">
        <v>51</v>
      </c>
      <c r="K61" s="4" t="s">
        <v>51</v>
      </c>
      <c r="L61" s="4" t="s">
        <v>58</v>
      </c>
      <c r="M61" s="4" t="s">
        <v>58</v>
      </c>
      <c r="N61" s="4"/>
      <c r="O61" s="4"/>
      <c r="P61" s="4"/>
      <c r="Q61" s="4" t="s">
        <v>58</v>
      </c>
      <c r="R61" s="4"/>
      <c r="S61" s="4"/>
      <c r="T61" s="4"/>
      <c r="U61" s="4" t="s">
        <v>42</v>
      </c>
      <c r="V61" s="4"/>
      <c r="W61" s="4"/>
      <c r="X61" s="4"/>
      <c r="Y61" s="4"/>
      <c r="Z61" s="4"/>
      <c r="AA61" s="4"/>
      <c r="AB61" s="4"/>
      <c r="AC61" s="4"/>
      <c r="AD61" s="4" t="s">
        <v>43</v>
      </c>
      <c r="AE61" s="4"/>
      <c r="AF61" s="4"/>
      <c r="AG61" s="5" t="s">
        <v>316</v>
      </c>
      <c r="AI61" s="5" t="s">
        <v>45</v>
      </c>
    </row>
    <row r="62" customFormat="false" ht="15" hidden="false" customHeight="true" outlineLevel="0" collapsed="false">
      <c r="A62" s="3" t="s">
        <v>317</v>
      </c>
      <c r="B62" s="4" t="s">
        <v>230</v>
      </c>
      <c r="C62" s="4"/>
      <c r="D62" s="4" t="s">
        <v>231</v>
      </c>
      <c r="E62" s="4" t="s">
        <v>47</v>
      </c>
      <c r="F62" s="4" t="s">
        <v>48</v>
      </c>
      <c r="G62" s="4" t="s">
        <v>40</v>
      </c>
      <c r="H62" s="4"/>
      <c r="I62" s="4" t="s">
        <v>318</v>
      </c>
      <c r="J62" s="4" t="s">
        <v>319</v>
      </c>
      <c r="K62" s="4" t="s">
        <v>51</v>
      </c>
      <c r="L62" s="4"/>
      <c r="M62" s="4"/>
      <c r="N62" s="4"/>
      <c r="O62" s="4"/>
      <c r="P62" s="4"/>
      <c r="Q62" s="4"/>
      <c r="R62" s="4"/>
      <c r="S62" s="4"/>
      <c r="T62" s="4"/>
      <c r="U62" s="4" t="s">
        <v>42</v>
      </c>
      <c r="V62" s="4"/>
      <c r="W62" s="4"/>
      <c r="X62" s="4"/>
      <c r="Y62" s="4"/>
      <c r="Z62" s="4"/>
      <c r="AA62" s="4"/>
      <c r="AB62" s="4"/>
      <c r="AC62" s="4"/>
      <c r="AD62" s="4" t="s">
        <v>43</v>
      </c>
      <c r="AE62" s="4"/>
      <c r="AF62" s="4"/>
      <c r="AG62" s="5" t="s">
        <v>320</v>
      </c>
      <c r="AI62" s="5" t="s">
        <v>45</v>
      </c>
    </row>
    <row r="63" customFormat="false" ht="15" hidden="false" customHeight="true" outlineLevel="0" collapsed="false">
      <c r="A63" s="3" t="s">
        <v>321</v>
      </c>
      <c r="B63" s="4" t="s">
        <v>230</v>
      </c>
      <c r="C63" s="4"/>
      <c r="D63" s="4" t="s">
        <v>231</v>
      </c>
      <c r="E63" s="4" t="s">
        <v>54</v>
      </c>
      <c r="F63" s="4" t="s">
        <v>55</v>
      </c>
      <c r="G63" s="4" t="s">
        <v>40</v>
      </c>
      <c r="H63" s="4" t="s">
        <v>123</v>
      </c>
      <c r="I63" s="4" t="s">
        <v>239</v>
      </c>
      <c r="J63" s="4" t="s">
        <v>236</v>
      </c>
      <c r="K63" s="4" t="s">
        <v>110</v>
      </c>
      <c r="L63" s="4" t="s">
        <v>106</v>
      </c>
      <c r="M63" s="4" t="s">
        <v>58</v>
      </c>
      <c r="N63" s="4" t="s">
        <v>58</v>
      </c>
      <c r="O63" s="4" t="s">
        <v>58</v>
      </c>
      <c r="P63" s="4" t="s">
        <v>58</v>
      </c>
      <c r="Q63" s="4" t="s">
        <v>58</v>
      </c>
      <c r="R63" s="6" t="n">
        <v>2.715</v>
      </c>
      <c r="S63" s="6" t="n">
        <v>59.909</v>
      </c>
      <c r="T63" s="4"/>
      <c r="U63" s="4" t="s">
        <v>42</v>
      </c>
      <c r="V63" s="4" t="s">
        <v>59</v>
      </c>
      <c r="W63" s="4" t="s">
        <v>58</v>
      </c>
      <c r="X63" s="4" t="s">
        <v>60</v>
      </c>
      <c r="Y63" s="4" t="s">
        <v>58</v>
      </c>
      <c r="Z63" s="4" t="s">
        <v>240</v>
      </c>
      <c r="AA63" s="6" t="n">
        <v>53.626</v>
      </c>
      <c r="AB63" s="6" t="n">
        <v>26.823</v>
      </c>
      <c r="AC63" s="6" t="n">
        <v>33.086</v>
      </c>
      <c r="AD63" s="4" t="s">
        <v>43</v>
      </c>
      <c r="AE63" s="4" t="s">
        <v>241</v>
      </c>
      <c r="AF63" s="4" t="s">
        <v>63</v>
      </c>
      <c r="AG63" s="5" t="s">
        <v>322</v>
      </c>
      <c r="AH63" s="5" t="s">
        <v>65</v>
      </c>
      <c r="AI63" s="5" t="s">
        <v>45</v>
      </c>
    </row>
    <row r="64" customFormat="false" ht="15" hidden="false" customHeight="true" outlineLevel="0" collapsed="false">
      <c r="A64" s="3" t="s">
        <v>323</v>
      </c>
      <c r="B64" s="4" t="s">
        <v>230</v>
      </c>
      <c r="C64" s="4"/>
      <c r="D64" s="4" t="s">
        <v>231</v>
      </c>
      <c r="E64" s="4" t="s">
        <v>67</v>
      </c>
      <c r="F64" s="4" t="s">
        <v>68</v>
      </c>
      <c r="G64" s="4" t="s">
        <v>40</v>
      </c>
      <c r="H64" s="4" t="s">
        <v>324</v>
      </c>
      <c r="I64" s="4" t="s">
        <v>325</v>
      </c>
      <c r="J64" s="4" t="s">
        <v>303</v>
      </c>
      <c r="K64" s="4" t="s">
        <v>71</v>
      </c>
      <c r="L64" s="4" t="s">
        <v>58</v>
      </c>
      <c r="M64" s="4" t="s">
        <v>58</v>
      </c>
      <c r="N64" s="4" t="s">
        <v>58</v>
      </c>
      <c r="O64" s="4" t="s">
        <v>58</v>
      </c>
      <c r="P64" s="4" t="s">
        <v>58</v>
      </c>
      <c r="Q64" s="4" t="s">
        <v>58</v>
      </c>
      <c r="R64" s="6" t="n">
        <v>4.148</v>
      </c>
      <c r="S64" s="6" t="n">
        <v>52.698</v>
      </c>
      <c r="T64" s="4"/>
      <c r="U64" s="4" t="s">
        <v>42</v>
      </c>
      <c r="V64" s="4" t="s">
        <v>100</v>
      </c>
      <c r="W64" s="4" t="s">
        <v>58</v>
      </c>
      <c r="X64" s="4" t="s">
        <v>60</v>
      </c>
      <c r="Y64" s="4" t="s">
        <v>58</v>
      </c>
      <c r="Z64" s="4" t="s">
        <v>192</v>
      </c>
      <c r="AA64" s="6" t="n">
        <v>42.096</v>
      </c>
      <c r="AB64" s="6" t="n">
        <v>33.989</v>
      </c>
      <c r="AC64" s="6" t="n">
        <v>18.709</v>
      </c>
      <c r="AD64" s="4" t="s">
        <v>43</v>
      </c>
      <c r="AE64" s="4" t="s">
        <v>112</v>
      </c>
      <c r="AF64" s="4" t="s">
        <v>63</v>
      </c>
      <c r="AG64" s="5" t="s">
        <v>326</v>
      </c>
      <c r="AH64" s="5" t="s">
        <v>65</v>
      </c>
      <c r="AI64" s="5" t="s">
        <v>45</v>
      </c>
    </row>
    <row r="65" customFormat="false" ht="15" hidden="false" customHeight="true" outlineLevel="0" collapsed="false">
      <c r="A65" s="3" t="s">
        <v>327</v>
      </c>
      <c r="B65" s="4" t="s">
        <v>230</v>
      </c>
      <c r="C65" s="4"/>
      <c r="D65" s="4" t="s">
        <v>231</v>
      </c>
      <c r="E65" s="4" t="s">
        <v>76</v>
      </c>
      <c r="F65" s="4" t="s">
        <v>77</v>
      </c>
      <c r="G65" s="4" t="s">
        <v>40</v>
      </c>
      <c r="H65" s="4" t="s">
        <v>85</v>
      </c>
      <c r="I65" s="4" t="s">
        <v>328</v>
      </c>
      <c r="J65" s="4" t="s">
        <v>303</v>
      </c>
      <c r="K65" s="4" t="s">
        <v>57</v>
      </c>
      <c r="L65" s="4" t="s">
        <v>58</v>
      </c>
      <c r="M65" s="4" t="s">
        <v>58</v>
      </c>
      <c r="N65" s="4" t="s">
        <v>58</v>
      </c>
      <c r="O65" s="4" t="s">
        <v>58</v>
      </c>
      <c r="P65" s="4" t="s">
        <v>58</v>
      </c>
      <c r="Q65" s="4" t="s">
        <v>58</v>
      </c>
      <c r="R65" s="6" t="n">
        <v>17.197</v>
      </c>
      <c r="S65" s="6" t="n">
        <v>43.791</v>
      </c>
      <c r="T65" s="4"/>
      <c r="U65" s="4" t="s">
        <v>42</v>
      </c>
      <c r="V65" s="4" t="s">
        <v>100</v>
      </c>
      <c r="W65" s="4" t="s">
        <v>58</v>
      </c>
      <c r="X65" s="4" t="s">
        <v>60</v>
      </c>
      <c r="Y65" s="4" t="s">
        <v>58</v>
      </c>
      <c r="Z65" s="4" t="s">
        <v>292</v>
      </c>
      <c r="AA65" s="6" t="n">
        <v>37.72</v>
      </c>
      <c r="AB65" s="6" t="n">
        <v>19.002</v>
      </c>
      <c r="AC65" s="6" t="n">
        <v>24.789</v>
      </c>
      <c r="AD65" s="4" t="s">
        <v>43</v>
      </c>
      <c r="AE65" s="4" t="s">
        <v>112</v>
      </c>
      <c r="AF65" s="4" t="s">
        <v>63</v>
      </c>
      <c r="AG65" s="5" t="s">
        <v>329</v>
      </c>
      <c r="AH65" s="5" t="s">
        <v>65</v>
      </c>
      <c r="AI65" s="5" t="s">
        <v>45</v>
      </c>
    </row>
    <row r="66" customFormat="false" ht="15" hidden="false" customHeight="true" outlineLevel="0" collapsed="false">
      <c r="A66" s="3" t="s">
        <v>330</v>
      </c>
      <c r="B66" s="4" t="s">
        <v>230</v>
      </c>
      <c r="C66" s="4"/>
      <c r="D66" s="4" t="s">
        <v>231</v>
      </c>
      <c r="E66" s="4" t="s">
        <v>83</v>
      </c>
      <c r="F66" s="4" t="s">
        <v>84</v>
      </c>
      <c r="G66" s="4" t="s">
        <v>40</v>
      </c>
      <c r="H66" s="4" t="s">
        <v>85</v>
      </c>
      <c r="I66" s="4" t="s">
        <v>331</v>
      </c>
      <c r="J66" s="4" t="s">
        <v>99</v>
      </c>
      <c r="K66" s="4" t="s">
        <v>57</v>
      </c>
      <c r="L66" s="4" t="s">
        <v>58</v>
      </c>
      <c r="M66" s="4" t="s">
        <v>58</v>
      </c>
      <c r="N66" s="4" t="s">
        <v>58</v>
      </c>
      <c r="O66" s="4" t="s">
        <v>58</v>
      </c>
      <c r="P66" s="4" t="s">
        <v>58</v>
      </c>
      <c r="Q66" s="4" t="s">
        <v>58</v>
      </c>
      <c r="R66" s="6" t="n">
        <v>14.917</v>
      </c>
      <c r="S66" s="6" t="n">
        <v>47.283</v>
      </c>
      <c r="T66" s="4"/>
      <c r="U66" s="4" t="s">
        <v>42</v>
      </c>
      <c r="V66" s="4" t="s">
        <v>59</v>
      </c>
      <c r="W66" s="4" t="s">
        <v>58</v>
      </c>
      <c r="X66" s="4" t="s">
        <v>60</v>
      </c>
      <c r="Y66" s="4" t="s">
        <v>106</v>
      </c>
      <c r="Z66" s="4" t="s">
        <v>332</v>
      </c>
      <c r="AA66" s="6" t="n">
        <v>36.209</v>
      </c>
      <c r="AB66" s="6" t="n">
        <v>20.198</v>
      </c>
      <c r="AC66" s="6" t="n">
        <v>27.085</v>
      </c>
      <c r="AD66" s="4" t="s">
        <v>43</v>
      </c>
      <c r="AE66" s="4" t="s">
        <v>102</v>
      </c>
      <c r="AF66" s="4" t="s">
        <v>63</v>
      </c>
      <c r="AG66" s="5" t="s">
        <v>333</v>
      </c>
      <c r="AH66" s="5" t="s">
        <v>65</v>
      </c>
      <c r="AI66" s="5" t="s">
        <v>45</v>
      </c>
    </row>
    <row r="67" customFormat="false" ht="15" hidden="false" customHeight="true" outlineLevel="0" collapsed="false">
      <c r="A67" s="3" t="s">
        <v>334</v>
      </c>
      <c r="B67" s="4" t="s">
        <v>230</v>
      </c>
      <c r="C67" s="4"/>
      <c r="D67" s="4" t="s">
        <v>231</v>
      </c>
      <c r="E67" s="4" t="s">
        <v>150</v>
      </c>
      <c r="F67" s="4" t="s">
        <v>151</v>
      </c>
      <c r="G67" s="4" t="s">
        <v>40</v>
      </c>
      <c r="H67" s="4"/>
      <c r="I67" s="4" t="s">
        <v>335</v>
      </c>
      <c r="J67" s="4" t="s">
        <v>51</v>
      </c>
      <c r="K67" s="4" t="s">
        <v>51</v>
      </c>
      <c r="L67" s="4" t="s">
        <v>58</v>
      </c>
      <c r="M67" s="4" t="s">
        <v>58</v>
      </c>
      <c r="N67" s="4"/>
      <c r="O67" s="4"/>
      <c r="P67" s="4"/>
      <c r="Q67" s="4" t="s">
        <v>58</v>
      </c>
      <c r="R67" s="6" t="n">
        <v>7.552</v>
      </c>
      <c r="S67" s="4"/>
      <c r="T67" s="4"/>
      <c r="U67" s="4" t="s">
        <v>42</v>
      </c>
      <c r="V67" s="4" t="s">
        <v>100</v>
      </c>
      <c r="W67" s="4"/>
      <c r="X67" s="4"/>
      <c r="Y67" s="4"/>
      <c r="Z67" s="4"/>
      <c r="AA67" s="4"/>
      <c r="AB67" s="4"/>
      <c r="AC67" s="4"/>
      <c r="AD67" s="4" t="s">
        <v>43</v>
      </c>
      <c r="AE67" s="4" t="s">
        <v>157</v>
      </c>
      <c r="AF67" s="4" t="s">
        <v>63</v>
      </c>
      <c r="AG67" s="5" t="s">
        <v>336</v>
      </c>
      <c r="AH67" s="5" t="s">
        <v>65</v>
      </c>
      <c r="AI67" s="5" t="s">
        <v>45</v>
      </c>
    </row>
    <row r="68" customFormat="false" ht="15" hidden="false" customHeight="true" outlineLevel="0" collapsed="false">
      <c r="A68" s="3" t="s">
        <v>337</v>
      </c>
      <c r="B68" s="4" t="s">
        <v>230</v>
      </c>
      <c r="C68" s="4"/>
      <c r="D68" s="4" t="s">
        <v>231</v>
      </c>
      <c r="E68" s="4" t="s">
        <v>38</v>
      </c>
      <c r="F68" s="4" t="s">
        <v>39</v>
      </c>
      <c r="G68" s="4" t="s">
        <v>40</v>
      </c>
      <c r="H68" s="4"/>
      <c r="I68" s="4" t="s">
        <v>338</v>
      </c>
      <c r="J68" s="4" t="s">
        <v>51</v>
      </c>
      <c r="K68" s="4" t="s">
        <v>51</v>
      </c>
      <c r="L68" s="4"/>
      <c r="M68" s="4"/>
      <c r="N68" s="4"/>
      <c r="O68" s="4"/>
      <c r="P68" s="4"/>
      <c r="Q68" s="4"/>
      <c r="R68" s="4"/>
      <c r="S68" s="4"/>
      <c r="T68" s="4"/>
      <c r="U68" s="4" t="s">
        <v>42</v>
      </c>
      <c r="V68" s="4"/>
      <c r="W68" s="4"/>
      <c r="X68" s="4"/>
      <c r="Y68" s="4"/>
      <c r="Z68" s="4"/>
      <c r="AA68" s="4"/>
      <c r="AB68" s="4"/>
      <c r="AC68" s="4"/>
      <c r="AD68" s="4" t="s">
        <v>43</v>
      </c>
      <c r="AE68" s="4"/>
      <c r="AF68" s="4"/>
      <c r="AG68" s="5" t="s">
        <v>339</v>
      </c>
      <c r="AI68" s="5" t="s">
        <v>45</v>
      </c>
    </row>
    <row r="69" customFormat="false" ht="15" hidden="false" customHeight="true" outlineLevel="0" collapsed="false">
      <c r="A69" s="3" t="s">
        <v>340</v>
      </c>
      <c r="B69" s="4" t="s">
        <v>230</v>
      </c>
      <c r="C69" s="4"/>
      <c r="D69" s="4" t="s">
        <v>231</v>
      </c>
      <c r="E69" s="4" t="s">
        <v>47</v>
      </c>
      <c r="F69" s="4" t="s">
        <v>48</v>
      </c>
      <c r="G69" s="4" t="s">
        <v>40</v>
      </c>
      <c r="H69" s="4"/>
      <c r="I69" s="4" t="s">
        <v>341</v>
      </c>
      <c r="J69" s="4" t="s">
        <v>50</v>
      </c>
      <c r="K69" s="4" t="s">
        <v>51</v>
      </c>
      <c r="L69" s="4" t="s">
        <v>58</v>
      </c>
      <c r="M69" s="4"/>
      <c r="N69" s="4"/>
      <c r="O69" s="4"/>
      <c r="P69" s="4"/>
      <c r="Q69" s="4"/>
      <c r="R69" s="4"/>
      <c r="S69" s="4"/>
      <c r="T69" s="4"/>
      <c r="U69" s="4" t="s">
        <v>42</v>
      </c>
      <c r="V69" s="4" t="s">
        <v>59</v>
      </c>
      <c r="W69" s="4"/>
      <c r="X69" s="4"/>
      <c r="Y69" s="4"/>
      <c r="Z69" s="4"/>
      <c r="AA69" s="4"/>
      <c r="AB69" s="4"/>
      <c r="AC69" s="4"/>
      <c r="AD69" s="4" t="s">
        <v>43</v>
      </c>
      <c r="AE69" s="4" t="s">
        <v>341</v>
      </c>
      <c r="AF69" s="4" t="s">
        <v>197</v>
      </c>
      <c r="AG69" s="5" t="s">
        <v>342</v>
      </c>
      <c r="AH69" s="5" t="s">
        <v>65</v>
      </c>
      <c r="AI69" s="5" t="s">
        <v>45</v>
      </c>
    </row>
    <row r="70" customFormat="false" ht="15" hidden="false" customHeight="true" outlineLevel="0" collapsed="false">
      <c r="A70" s="3" t="s">
        <v>343</v>
      </c>
      <c r="B70" s="4" t="s">
        <v>230</v>
      </c>
      <c r="C70" s="4"/>
      <c r="D70" s="4" t="s">
        <v>231</v>
      </c>
      <c r="E70" s="4" t="s">
        <v>54</v>
      </c>
      <c r="F70" s="4" t="s">
        <v>55</v>
      </c>
      <c r="G70" s="4" t="s">
        <v>40</v>
      </c>
      <c r="H70" s="4"/>
      <c r="I70" s="4" t="s">
        <v>344</v>
      </c>
      <c r="J70" s="4" t="s">
        <v>99</v>
      </c>
      <c r="K70" s="4" t="s">
        <v>71</v>
      </c>
      <c r="L70" s="4" t="s">
        <v>58</v>
      </c>
      <c r="M70" s="4" t="s">
        <v>58</v>
      </c>
      <c r="N70" s="4" t="s">
        <v>58</v>
      </c>
      <c r="O70" s="4" t="s">
        <v>58</v>
      </c>
      <c r="P70" s="4" t="s">
        <v>58</v>
      </c>
      <c r="Q70" s="4" t="s">
        <v>58</v>
      </c>
      <c r="R70" s="6" t="n">
        <v>3.799</v>
      </c>
      <c r="S70" s="6" t="n">
        <v>36.508</v>
      </c>
      <c r="T70" s="4"/>
      <c r="U70" s="4" t="s">
        <v>42</v>
      </c>
      <c r="V70" s="4" t="s">
        <v>59</v>
      </c>
      <c r="W70" s="4" t="s">
        <v>106</v>
      </c>
      <c r="X70" s="4" t="s">
        <v>60</v>
      </c>
      <c r="Y70" s="4" t="s">
        <v>106</v>
      </c>
      <c r="Z70" s="4" t="s">
        <v>305</v>
      </c>
      <c r="AA70" s="6" t="n">
        <v>31.4</v>
      </c>
      <c r="AB70" s="6" t="n">
        <v>15.009</v>
      </c>
      <c r="AC70" s="6" t="n">
        <v>21.499</v>
      </c>
      <c r="AD70" s="4" t="s">
        <v>43</v>
      </c>
      <c r="AE70" s="4" t="s">
        <v>102</v>
      </c>
      <c r="AF70" s="4" t="s">
        <v>63</v>
      </c>
      <c r="AG70" s="5" t="s">
        <v>345</v>
      </c>
      <c r="AH70" s="5" t="s">
        <v>65</v>
      </c>
      <c r="AI70" s="5" t="s">
        <v>45</v>
      </c>
    </row>
    <row r="71" customFormat="false" ht="15" hidden="false" customHeight="true" outlineLevel="0" collapsed="false">
      <c r="A71" s="3" t="s">
        <v>346</v>
      </c>
      <c r="B71" s="4" t="s">
        <v>230</v>
      </c>
      <c r="C71" s="4"/>
      <c r="D71" s="4" t="s">
        <v>231</v>
      </c>
      <c r="E71" s="4" t="s">
        <v>67</v>
      </c>
      <c r="F71" s="4" t="s">
        <v>68</v>
      </c>
      <c r="G71" s="4" t="s">
        <v>40</v>
      </c>
      <c r="H71" s="4" t="s">
        <v>123</v>
      </c>
      <c r="I71" s="4" t="s">
        <v>347</v>
      </c>
      <c r="J71" s="4" t="s">
        <v>78</v>
      </c>
      <c r="K71" s="4" t="s">
        <v>348</v>
      </c>
      <c r="L71" s="4" t="s">
        <v>58</v>
      </c>
      <c r="M71" s="4" t="s">
        <v>58</v>
      </c>
      <c r="N71" s="4" t="s">
        <v>58</v>
      </c>
      <c r="O71" s="4" t="s">
        <v>58</v>
      </c>
      <c r="P71" s="4" t="s">
        <v>58</v>
      </c>
      <c r="Q71" s="4" t="s">
        <v>58</v>
      </c>
      <c r="R71" s="6" t="n">
        <v>1.95</v>
      </c>
      <c r="S71" s="6" t="n">
        <v>57.246</v>
      </c>
      <c r="T71" s="4"/>
      <c r="U71" s="4" t="s">
        <v>42</v>
      </c>
      <c r="V71" s="4" t="s">
        <v>59</v>
      </c>
      <c r="W71" s="4" t="s">
        <v>58</v>
      </c>
      <c r="X71" s="4" t="s">
        <v>60</v>
      </c>
      <c r="Y71" s="4" t="s">
        <v>58</v>
      </c>
      <c r="Z71" s="4" t="s">
        <v>305</v>
      </c>
      <c r="AA71" s="6" t="n">
        <v>51.192</v>
      </c>
      <c r="AB71" s="6" t="n">
        <v>27.741</v>
      </c>
      <c r="AC71" s="6" t="n">
        <v>29.505</v>
      </c>
      <c r="AD71" s="4" t="s">
        <v>43</v>
      </c>
      <c r="AE71" s="4" t="s">
        <v>209</v>
      </c>
      <c r="AF71" s="4" t="s">
        <v>63</v>
      </c>
      <c r="AG71" s="5" t="s">
        <v>349</v>
      </c>
      <c r="AH71" s="5" t="s">
        <v>65</v>
      </c>
      <c r="AI71" s="5" t="s">
        <v>45</v>
      </c>
    </row>
    <row r="72" customFormat="false" ht="15" hidden="false" customHeight="true" outlineLevel="0" collapsed="false">
      <c r="A72" s="3" t="s">
        <v>350</v>
      </c>
      <c r="B72" s="4" t="s">
        <v>230</v>
      </c>
      <c r="C72" s="4"/>
      <c r="D72" s="4" t="s">
        <v>231</v>
      </c>
      <c r="E72" s="4" t="s">
        <v>76</v>
      </c>
      <c r="F72" s="4" t="s">
        <v>77</v>
      </c>
      <c r="G72" s="4" t="s">
        <v>40</v>
      </c>
      <c r="H72" s="4"/>
      <c r="I72" s="4" t="s">
        <v>351</v>
      </c>
      <c r="J72" s="4" t="s">
        <v>78</v>
      </c>
      <c r="K72" s="4" t="s">
        <v>226</v>
      </c>
      <c r="L72" s="4" t="s">
        <v>58</v>
      </c>
      <c r="M72" s="4" t="s">
        <v>58</v>
      </c>
      <c r="N72" s="4" t="s">
        <v>58</v>
      </c>
      <c r="O72" s="4" t="s">
        <v>58</v>
      </c>
      <c r="P72" s="4" t="s">
        <v>106</v>
      </c>
      <c r="Q72" s="4" t="s">
        <v>58</v>
      </c>
      <c r="R72" s="6" t="n">
        <v>17.288</v>
      </c>
      <c r="S72" s="6" t="n">
        <v>56.438</v>
      </c>
      <c r="T72" s="4" t="s">
        <v>352</v>
      </c>
      <c r="U72" s="4" t="s">
        <v>42</v>
      </c>
      <c r="V72" s="4" t="s">
        <v>59</v>
      </c>
      <c r="W72" s="4" t="s">
        <v>58</v>
      </c>
      <c r="X72" s="4" t="s">
        <v>60</v>
      </c>
      <c r="Y72" s="4" t="s">
        <v>58</v>
      </c>
      <c r="Z72" s="4" t="s">
        <v>353</v>
      </c>
      <c r="AA72" s="6" t="n">
        <v>49.836</v>
      </c>
      <c r="AB72" s="6" t="n">
        <v>23.106</v>
      </c>
      <c r="AC72" s="6" t="n">
        <v>33.332</v>
      </c>
      <c r="AD72" s="4" t="s">
        <v>43</v>
      </c>
      <c r="AE72" s="4" t="s">
        <v>73</v>
      </c>
      <c r="AF72" s="4" t="s">
        <v>63</v>
      </c>
      <c r="AG72" s="5" t="s">
        <v>354</v>
      </c>
      <c r="AH72" s="5" t="s">
        <v>65</v>
      </c>
      <c r="AI72" s="5" t="s">
        <v>45</v>
      </c>
    </row>
    <row r="73" customFormat="false" ht="15" hidden="false" customHeight="true" outlineLevel="0" collapsed="false">
      <c r="A73" s="3" t="s">
        <v>355</v>
      </c>
      <c r="B73" s="4" t="s">
        <v>230</v>
      </c>
      <c r="C73" s="4"/>
      <c r="D73" s="4" t="s">
        <v>231</v>
      </c>
      <c r="E73" s="4" t="s">
        <v>83</v>
      </c>
      <c r="F73" s="4" t="s">
        <v>84</v>
      </c>
      <c r="G73" s="4" t="s">
        <v>40</v>
      </c>
      <c r="H73" s="4" t="s">
        <v>189</v>
      </c>
      <c r="I73" s="4" t="s">
        <v>356</v>
      </c>
      <c r="J73" s="4" t="s">
        <v>236</v>
      </c>
      <c r="K73" s="4" t="s">
        <v>357</v>
      </c>
      <c r="L73" s="4" t="s">
        <v>58</v>
      </c>
      <c r="M73" s="4" t="s">
        <v>58</v>
      </c>
      <c r="N73" s="4" t="s">
        <v>58</v>
      </c>
      <c r="O73" s="4" t="s">
        <v>58</v>
      </c>
      <c r="P73" s="4" t="s">
        <v>58</v>
      </c>
      <c r="Q73" s="4" t="s">
        <v>58</v>
      </c>
      <c r="R73" s="6" t="n">
        <v>12.619</v>
      </c>
      <c r="S73" s="6" t="n">
        <v>78.085</v>
      </c>
      <c r="T73" s="4"/>
      <c r="U73" s="4" t="s">
        <v>42</v>
      </c>
      <c r="V73" s="4" t="s">
        <v>59</v>
      </c>
      <c r="W73" s="4"/>
      <c r="X73" s="4" t="s">
        <v>60</v>
      </c>
      <c r="Y73" s="4" t="s">
        <v>106</v>
      </c>
      <c r="Z73" s="4" t="s">
        <v>227</v>
      </c>
      <c r="AA73" s="6" t="n">
        <v>66.829</v>
      </c>
      <c r="AB73" s="6" t="n">
        <v>44.574</v>
      </c>
      <c r="AC73" s="6" t="n">
        <v>33.511</v>
      </c>
      <c r="AD73" s="4" t="s">
        <v>43</v>
      </c>
      <c r="AE73" s="4" t="s">
        <v>241</v>
      </c>
      <c r="AF73" s="4" t="s">
        <v>63</v>
      </c>
      <c r="AG73" s="5" t="s">
        <v>358</v>
      </c>
      <c r="AH73" s="5" t="s">
        <v>65</v>
      </c>
      <c r="AI73" s="5" t="s">
        <v>45</v>
      </c>
    </row>
    <row r="74" customFormat="false" ht="15" hidden="false" customHeight="true" outlineLevel="0" collapsed="false">
      <c r="A74" s="3" t="s">
        <v>359</v>
      </c>
      <c r="B74" s="4" t="s">
        <v>230</v>
      </c>
      <c r="C74" s="4"/>
      <c r="D74" s="4" t="s">
        <v>231</v>
      </c>
      <c r="E74" s="4" t="s">
        <v>83</v>
      </c>
      <c r="F74" s="4" t="s">
        <v>84</v>
      </c>
      <c r="G74" s="4" t="s">
        <v>40</v>
      </c>
      <c r="H74" s="4"/>
      <c r="I74" s="4" t="s">
        <v>360</v>
      </c>
      <c r="J74" s="4" t="s">
        <v>78</v>
      </c>
      <c r="K74" s="4" t="s">
        <v>110</v>
      </c>
      <c r="L74" s="4" t="s">
        <v>58</v>
      </c>
      <c r="M74" s="4" t="s">
        <v>58</v>
      </c>
      <c r="N74" s="4" t="s">
        <v>58</v>
      </c>
      <c r="O74" s="4" t="s">
        <v>58</v>
      </c>
      <c r="P74" s="4" t="s">
        <v>58</v>
      </c>
      <c r="Q74" s="4" t="s">
        <v>58</v>
      </c>
      <c r="R74" s="6" t="n">
        <v>18.52</v>
      </c>
      <c r="S74" s="6" t="n">
        <v>40.971</v>
      </c>
      <c r="T74" s="4"/>
      <c r="U74" s="4" t="s">
        <v>42</v>
      </c>
      <c r="V74" s="4" t="s">
        <v>59</v>
      </c>
      <c r="W74" s="4" t="s">
        <v>58</v>
      </c>
      <c r="X74" s="4" t="s">
        <v>60</v>
      </c>
      <c r="Y74" s="4" t="s">
        <v>58</v>
      </c>
      <c r="Z74" s="4" t="s">
        <v>361</v>
      </c>
      <c r="AA74" s="6" t="n">
        <v>38.81</v>
      </c>
      <c r="AB74" s="6" t="n">
        <v>15.656</v>
      </c>
      <c r="AC74" s="6" t="n">
        <v>25.315</v>
      </c>
      <c r="AD74" s="4" t="s">
        <v>43</v>
      </c>
      <c r="AE74" s="4" t="s">
        <v>73</v>
      </c>
      <c r="AF74" s="4" t="s">
        <v>63</v>
      </c>
      <c r="AG74" s="5" t="s">
        <v>362</v>
      </c>
      <c r="AH74" s="5" t="s">
        <v>65</v>
      </c>
      <c r="AI74" s="5" t="s">
        <v>45</v>
      </c>
    </row>
    <row r="75" customFormat="false" ht="15" hidden="false" customHeight="true" outlineLevel="0" collapsed="false">
      <c r="A75" s="3" t="s">
        <v>363</v>
      </c>
      <c r="B75" s="4" t="s">
        <v>230</v>
      </c>
      <c r="C75" s="4"/>
      <c r="D75" s="4" t="s">
        <v>231</v>
      </c>
      <c r="E75" s="4" t="s">
        <v>150</v>
      </c>
      <c r="F75" s="4" t="s">
        <v>151</v>
      </c>
      <c r="G75" s="4" t="s">
        <v>40</v>
      </c>
      <c r="H75" s="4" t="s">
        <v>85</v>
      </c>
      <c r="I75" s="4" t="s">
        <v>364</v>
      </c>
      <c r="J75" s="4" t="s">
        <v>51</v>
      </c>
      <c r="K75" s="4" t="s">
        <v>51</v>
      </c>
      <c r="L75" s="4"/>
      <c r="M75" s="4"/>
      <c r="N75" s="4"/>
      <c r="O75" s="4"/>
      <c r="P75" s="4"/>
      <c r="Q75" s="4"/>
      <c r="R75" s="6" t="n">
        <v>14.874</v>
      </c>
      <c r="S75" s="4"/>
      <c r="T75" s="4"/>
      <c r="U75" s="4" t="s">
        <v>42</v>
      </c>
      <c r="V75" s="4" t="s">
        <v>100</v>
      </c>
      <c r="W75" s="4"/>
      <c r="X75" s="4"/>
      <c r="Y75" s="4"/>
      <c r="Z75" s="4"/>
      <c r="AA75" s="4"/>
      <c r="AB75" s="4"/>
      <c r="AC75" s="4"/>
      <c r="AD75" s="4" t="s">
        <v>43</v>
      </c>
      <c r="AE75" s="4" t="s">
        <v>157</v>
      </c>
      <c r="AF75" s="4" t="s">
        <v>197</v>
      </c>
      <c r="AG75" s="5" t="s">
        <v>365</v>
      </c>
      <c r="AH75" s="5" t="s">
        <v>65</v>
      </c>
      <c r="AI75" s="5" t="s">
        <v>45</v>
      </c>
    </row>
    <row r="76" customFormat="false" ht="15" hidden="false" customHeight="true" outlineLevel="0" collapsed="false">
      <c r="A76" s="3" t="s">
        <v>366</v>
      </c>
      <c r="B76" s="4" t="s">
        <v>230</v>
      </c>
      <c r="C76" s="4"/>
      <c r="D76" s="4" t="s">
        <v>367</v>
      </c>
      <c r="E76" s="4" t="s">
        <v>38</v>
      </c>
      <c r="F76" s="4" t="s">
        <v>39</v>
      </c>
      <c r="G76" s="4" t="s">
        <v>40</v>
      </c>
      <c r="H76" s="4"/>
      <c r="I76" s="4" t="s">
        <v>368</v>
      </c>
      <c r="J76" s="4" t="s">
        <v>51</v>
      </c>
      <c r="K76" s="4" t="s">
        <v>51</v>
      </c>
      <c r="L76" s="4"/>
      <c r="M76" s="4"/>
      <c r="N76" s="4"/>
      <c r="O76" s="4"/>
      <c r="P76" s="4"/>
      <c r="Q76" s="4"/>
      <c r="R76" s="4"/>
      <c r="S76" s="4"/>
      <c r="T76" s="4"/>
      <c r="U76" s="4" t="s">
        <v>42</v>
      </c>
      <c r="V76" s="4"/>
      <c r="W76" s="4"/>
      <c r="X76" s="4"/>
      <c r="Y76" s="4"/>
      <c r="Z76" s="4"/>
      <c r="AA76" s="4"/>
      <c r="AB76" s="4"/>
      <c r="AC76" s="4"/>
      <c r="AD76" s="4" t="s">
        <v>43</v>
      </c>
      <c r="AE76" s="4"/>
      <c r="AF76" s="4"/>
      <c r="AG76" s="5" t="s">
        <v>369</v>
      </c>
      <c r="AI76" s="5" t="s">
        <v>45</v>
      </c>
    </row>
    <row r="77" customFormat="false" ht="15" hidden="false" customHeight="true" outlineLevel="0" collapsed="false">
      <c r="A77" s="3" t="s">
        <v>370</v>
      </c>
      <c r="B77" s="4" t="s">
        <v>230</v>
      </c>
      <c r="C77" s="4"/>
      <c r="D77" s="4" t="s">
        <v>367</v>
      </c>
      <c r="E77" s="4" t="s">
        <v>47</v>
      </c>
      <c r="F77" s="4" t="s">
        <v>48</v>
      </c>
      <c r="G77" s="4" t="s">
        <v>40</v>
      </c>
      <c r="H77" s="4"/>
      <c r="I77" s="4" t="s">
        <v>371</v>
      </c>
      <c r="J77" s="4" t="s">
        <v>50</v>
      </c>
      <c r="K77" s="4" t="s">
        <v>51</v>
      </c>
      <c r="L77" s="4"/>
      <c r="M77" s="4"/>
      <c r="N77" s="4"/>
      <c r="O77" s="4"/>
      <c r="P77" s="4"/>
      <c r="Q77" s="4"/>
      <c r="R77" s="4"/>
      <c r="S77" s="4"/>
      <c r="T77" s="4"/>
      <c r="U77" s="4" t="s">
        <v>42</v>
      </c>
      <c r="V77" s="4"/>
      <c r="W77" s="4"/>
      <c r="X77" s="4"/>
      <c r="Y77" s="4"/>
      <c r="Z77" s="4"/>
      <c r="AA77" s="4"/>
      <c r="AB77" s="4"/>
      <c r="AC77" s="4"/>
      <c r="AD77" s="4" t="s">
        <v>43</v>
      </c>
      <c r="AE77" s="4"/>
      <c r="AF77" s="4"/>
      <c r="AG77" s="5" t="s">
        <v>372</v>
      </c>
      <c r="AI77" s="5" t="s">
        <v>45</v>
      </c>
    </row>
    <row r="78" customFormat="false" ht="15" hidden="false" customHeight="true" outlineLevel="0" collapsed="false">
      <c r="A78" s="3" t="s">
        <v>373</v>
      </c>
      <c r="B78" s="4" t="s">
        <v>230</v>
      </c>
      <c r="C78" s="4"/>
      <c r="D78" s="4" t="s">
        <v>367</v>
      </c>
      <c r="E78" s="4" t="s">
        <v>54</v>
      </c>
      <c r="F78" s="4" t="s">
        <v>55</v>
      </c>
      <c r="G78" s="4" t="s">
        <v>40</v>
      </c>
      <c r="H78" s="4"/>
      <c r="I78" s="4" t="s">
        <v>374</v>
      </c>
      <c r="J78" s="4" t="s">
        <v>70</v>
      </c>
      <c r="K78" s="4" t="s">
        <v>57</v>
      </c>
      <c r="L78" s="4" t="s">
        <v>58</v>
      </c>
      <c r="M78" s="4" t="s">
        <v>58</v>
      </c>
      <c r="N78" s="4" t="s">
        <v>58</v>
      </c>
      <c r="O78" s="4" t="s">
        <v>58</v>
      </c>
      <c r="P78" s="4" t="s">
        <v>58</v>
      </c>
      <c r="Q78" s="4" t="s">
        <v>58</v>
      </c>
      <c r="R78" s="6" t="n">
        <v>2.314</v>
      </c>
      <c r="S78" s="6" t="n">
        <v>35.175</v>
      </c>
      <c r="T78" s="4" t="s">
        <v>375</v>
      </c>
      <c r="U78" s="4" t="s">
        <v>42</v>
      </c>
      <c r="V78" s="4" t="s">
        <v>59</v>
      </c>
      <c r="W78" s="4" t="s">
        <v>58</v>
      </c>
      <c r="X78" s="4" t="s">
        <v>60</v>
      </c>
      <c r="Y78" s="4" t="s">
        <v>58</v>
      </c>
      <c r="Z78" s="4" t="s">
        <v>376</v>
      </c>
      <c r="AA78" s="6" t="n">
        <v>29.625</v>
      </c>
      <c r="AB78" s="6" t="n">
        <v>20.167</v>
      </c>
      <c r="AC78" s="6" t="n">
        <v>15.008</v>
      </c>
      <c r="AD78" s="4" t="s">
        <v>43</v>
      </c>
      <c r="AE78" s="4" t="s">
        <v>377</v>
      </c>
      <c r="AF78" s="4" t="s">
        <v>63</v>
      </c>
      <c r="AG78" s="5" t="s">
        <v>378</v>
      </c>
      <c r="AH78" s="5" t="s">
        <v>65</v>
      </c>
      <c r="AI78" s="5" t="s">
        <v>45</v>
      </c>
    </row>
    <row r="79" customFormat="false" ht="15" hidden="false" customHeight="true" outlineLevel="0" collapsed="false">
      <c r="A79" s="3" t="s">
        <v>379</v>
      </c>
      <c r="B79" s="4" t="s">
        <v>380</v>
      </c>
      <c r="C79" s="4"/>
      <c r="D79" s="4" t="s">
        <v>367</v>
      </c>
      <c r="E79" s="4" t="s">
        <v>38</v>
      </c>
      <c r="F79" s="4" t="s">
        <v>39</v>
      </c>
      <c r="G79" s="4" t="s">
        <v>40</v>
      </c>
      <c r="H79" s="4"/>
      <c r="I79" s="4" t="s">
        <v>381</v>
      </c>
      <c r="J79" s="4" t="s">
        <v>50</v>
      </c>
      <c r="K79" s="4" t="s">
        <v>51</v>
      </c>
      <c r="L79" s="4"/>
      <c r="M79" s="4"/>
      <c r="N79" s="4"/>
      <c r="O79" s="4"/>
      <c r="P79" s="4"/>
      <c r="Q79" s="4"/>
      <c r="R79" s="4"/>
      <c r="S79" s="4"/>
      <c r="T79" s="4"/>
      <c r="U79" s="4" t="s">
        <v>42</v>
      </c>
      <c r="V79" s="4"/>
      <c r="W79" s="4"/>
      <c r="X79" s="4"/>
      <c r="Y79" s="4"/>
      <c r="Z79" s="4"/>
      <c r="AA79" s="4"/>
      <c r="AB79" s="4"/>
      <c r="AC79" s="4"/>
      <c r="AD79" s="4" t="s">
        <v>43</v>
      </c>
      <c r="AE79" s="4"/>
      <c r="AF79" s="4"/>
      <c r="AG79" s="5" t="s">
        <v>382</v>
      </c>
      <c r="AI79" s="5" t="s">
        <v>45</v>
      </c>
    </row>
    <row r="80" customFormat="false" ht="15" hidden="false" customHeight="true" outlineLevel="0" collapsed="false">
      <c r="A80" s="3" t="s">
        <v>383</v>
      </c>
      <c r="B80" s="4" t="s">
        <v>380</v>
      </c>
      <c r="C80" s="4"/>
      <c r="D80" s="4" t="s">
        <v>367</v>
      </c>
      <c r="E80" s="4" t="s">
        <v>47</v>
      </c>
      <c r="F80" s="4" t="s">
        <v>48</v>
      </c>
      <c r="G80" s="4" t="s">
        <v>40</v>
      </c>
      <c r="H80" s="4"/>
      <c r="I80" s="4" t="s">
        <v>384</v>
      </c>
      <c r="J80" s="4" t="s">
        <v>385</v>
      </c>
      <c r="K80" s="4" t="s">
        <v>51</v>
      </c>
      <c r="L80" s="4"/>
      <c r="M80" s="4"/>
      <c r="N80" s="4"/>
      <c r="O80" s="4"/>
      <c r="P80" s="4"/>
      <c r="Q80" s="4"/>
      <c r="R80" s="4"/>
      <c r="S80" s="4"/>
      <c r="T80" s="4"/>
      <c r="U80" s="4" t="s">
        <v>42</v>
      </c>
      <c r="V80" s="4"/>
      <c r="W80" s="4"/>
      <c r="X80" s="4"/>
      <c r="Y80" s="4"/>
      <c r="Z80" s="4"/>
      <c r="AA80" s="4"/>
      <c r="AB80" s="4"/>
      <c r="AC80" s="4"/>
      <c r="AD80" s="4" t="s">
        <v>43</v>
      </c>
      <c r="AE80" s="4"/>
      <c r="AF80" s="4"/>
      <c r="AG80" s="5" t="s">
        <v>386</v>
      </c>
      <c r="AI80" s="5" t="s">
        <v>45</v>
      </c>
    </row>
    <row r="81" customFormat="false" ht="15" hidden="false" customHeight="true" outlineLevel="0" collapsed="false">
      <c r="A81" s="3" t="s">
        <v>387</v>
      </c>
      <c r="B81" s="4" t="s">
        <v>380</v>
      </c>
      <c r="C81" s="4"/>
      <c r="D81" s="4" t="s">
        <v>367</v>
      </c>
      <c r="E81" s="4" t="s">
        <v>67</v>
      </c>
      <c r="F81" s="4" t="s">
        <v>68</v>
      </c>
      <c r="G81" s="4" t="s">
        <v>40</v>
      </c>
      <c r="H81" s="4" t="s">
        <v>85</v>
      </c>
      <c r="I81" s="4" t="s">
        <v>207</v>
      </c>
      <c r="J81" s="4" t="s">
        <v>303</v>
      </c>
      <c r="K81" s="4" t="s">
        <v>57</v>
      </c>
      <c r="L81" s="4" t="s">
        <v>58</v>
      </c>
      <c r="M81" s="4" t="s">
        <v>58</v>
      </c>
      <c r="N81" s="4" t="s">
        <v>58</v>
      </c>
      <c r="O81" s="4" t="s">
        <v>58</v>
      </c>
      <c r="P81" s="4" t="s">
        <v>58</v>
      </c>
      <c r="Q81" s="4" t="s">
        <v>58</v>
      </c>
      <c r="R81" s="6" t="n">
        <v>109.268</v>
      </c>
      <c r="S81" s="6" t="n">
        <v>137.921</v>
      </c>
      <c r="T81" s="4"/>
      <c r="U81" s="4" t="s">
        <v>42</v>
      </c>
      <c r="V81" s="4" t="s">
        <v>59</v>
      </c>
      <c r="W81" s="4" t="s">
        <v>58</v>
      </c>
      <c r="X81" s="4" t="s">
        <v>60</v>
      </c>
      <c r="Y81" s="4" t="s">
        <v>58</v>
      </c>
      <c r="Z81" s="4" t="s">
        <v>165</v>
      </c>
      <c r="AA81" s="6" t="n">
        <v>131.656</v>
      </c>
      <c r="AB81" s="6" t="n">
        <v>9.569</v>
      </c>
      <c r="AC81" s="6" t="n">
        <v>128.352</v>
      </c>
      <c r="AD81" s="4" t="s">
        <v>43</v>
      </c>
      <c r="AE81" s="4" t="s">
        <v>388</v>
      </c>
      <c r="AF81" s="4" t="s">
        <v>63</v>
      </c>
      <c r="AG81" s="5" t="s">
        <v>389</v>
      </c>
      <c r="AH81" s="5" t="s">
        <v>65</v>
      </c>
      <c r="AI81" s="5" t="s">
        <v>45</v>
      </c>
    </row>
    <row r="82" customFormat="false" ht="15" hidden="false" customHeight="true" outlineLevel="0" collapsed="false">
      <c r="A82" s="3" t="s">
        <v>390</v>
      </c>
      <c r="B82" s="4" t="s">
        <v>380</v>
      </c>
      <c r="C82" s="4"/>
      <c r="D82" s="4" t="s">
        <v>37</v>
      </c>
      <c r="E82" s="4" t="s">
        <v>67</v>
      </c>
      <c r="F82" s="4" t="s">
        <v>68</v>
      </c>
      <c r="G82" s="4" t="s">
        <v>40</v>
      </c>
      <c r="H82" s="4" t="s">
        <v>85</v>
      </c>
      <c r="I82" s="4" t="s">
        <v>391</v>
      </c>
      <c r="J82" s="4" t="s">
        <v>303</v>
      </c>
      <c r="K82" s="4" t="s">
        <v>57</v>
      </c>
      <c r="L82" s="4" t="s">
        <v>58</v>
      </c>
      <c r="M82" s="4" t="s">
        <v>58</v>
      </c>
      <c r="N82" s="4" t="s">
        <v>58</v>
      </c>
      <c r="O82" s="4" t="s">
        <v>58</v>
      </c>
      <c r="P82" s="4" t="s">
        <v>58</v>
      </c>
      <c r="Q82" s="4" t="s">
        <v>58</v>
      </c>
      <c r="R82" s="6" t="n">
        <v>6.839</v>
      </c>
      <c r="S82" s="6" t="n">
        <v>38.159</v>
      </c>
      <c r="T82" s="4"/>
      <c r="U82" s="4" t="s">
        <v>42</v>
      </c>
      <c r="V82" s="4" t="s">
        <v>100</v>
      </c>
      <c r="W82" s="4" t="s">
        <v>58</v>
      </c>
      <c r="X82" s="4" t="s">
        <v>60</v>
      </c>
      <c r="Y82" s="4" t="s">
        <v>58</v>
      </c>
      <c r="Z82" s="4" t="s">
        <v>392</v>
      </c>
      <c r="AA82" s="6" t="n">
        <v>31.679</v>
      </c>
      <c r="AB82" s="6" t="n">
        <v>11.452</v>
      </c>
      <c r="AC82" s="6" t="n">
        <v>26.707</v>
      </c>
      <c r="AD82" s="4" t="s">
        <v>43</v>
      </c>
      <c r="AE82" s="4" t="s">
        <v>393</v>
      </c>
      <c r="AF82" s="4" t="s">
        <v>63</v>
      </c>
      <c r="AG82" s="5" t="s">
        <v>394</v>
      </c>
      <c r="AH82" s="5" t="s">
        <v>65</v>
      </c>
      <c r="AI82" s="5" t="s">
        <v>45</v>
      </c>
    </row>
    <row r="83" customFormat="false" ht="15" hidden="false" customHeight="true" outlineLevel="0" collapsed="false">
      <c r="A83" s="3" t="s">
        <v>395</v>
      </c>
      <c r="B83" s="4" t="s">
        <v>380</v>
      </c>
      <c r="C83" s="4"/>
      <c r="D83" s="4" t="s">
        <v>37</v>
      </c>
      <c r="E83" s="4" t="s">
        <v>76</v>
      </c>
      <c r="F83" s="4" t="s">
        <v>77</v>
      </c>
      <c r="G83" s="4" t="s">
        <v>40</v>
      </c>
      <c r="H83" s="4"/>
      <c r="I83" s="4" t="s">
        <v>396</v>
      </c>
      <c r="J83" s="4" t="s">
        <v>78</v>
      </c>
      <c r="K83" s="4" t="s">
        <v>71</v>
      </c>
      <c r="L83" s="4" t="s">
        <v>58</v>
      </c>
      <c r="M83" s="4" t="s">
        <v>58</v>
      </c>
      <c r="N83" s="4" t="s">
        <v>58</v>
      </c>
      <c r="O83" s="4" t="s">
        <v>58</v>
      </c>
      <c r="P83" s="4" t="s">
        <v>58</v>
      </c>
      <c r="Q83" s="4" t="s">
        <v>58</v>
      </c>
      <c r="R83" s="6" t="n">
        <v>31.595</v>
      </c>
      <c r="S83" s="6" t="n">
        <v>80.051</v>
      </c>
      <c r="T83" s="4"/>
      <c r="U83" s="4" t="s">
        <v>42</v>
      </c>
      <c r="V83" s="4" t="s">
        <v>59</v>
      </c>
      <c r="W83" s="4" t="s">
        <v>58</v>
      </c>
      <c r="X83" s="4" t="s">
        <v>60</v>
      </c>
      <c r="Y83" s="4" t="s">
        <v>106</v>
      </c>
      <c r="Z83" s="4" t="s">
        <v>61</v>
      </c>
      <c r="AA83" s="6" t="n">
        <v>66.269</v>
      </c>
      <c r="AB83" s="6" t="n">
        <v>36.509</v>
      </c>
      <c r="AC83" s="6" t="n">
        <v>43.542</v>
      </c>
      <c r="AD83" s="4" t="s">
        <v>43</v>
      </c>
      <c r="AE83" s="4" t="s">
        <v>73</v>
      </c>
      <c r="AF83" s="4" t="s">
        <v>63</v>
      </c>
      <c r="AG83" s="5" t="s">
        <v>397</v>
      </c>
      <c r="AH83" s="5" t="s">
        <v>65</v>
      </c>
      <c r="AI83" s="5" t="s">
        <v>45</v>
      </c>
    </row>
    <row r="84" customFormat="false" ht="15" hidden="false" customHeight="true" outlineLevel="0" collapsed="false">
      <c r="A84" s="3" t="s">
        <v>398</v>
      </c>
      <c r="B84" s="4" t="s">
        <v>380</v>
      </c>
      <c r="C84" s="4"/>
      <c r="D84" s="4" t="s">
        <v>367</v>
      </c>
      <c r="E84" s="4" t="s">
        <v>83</v>
      </c>
      <c r="F84" s="4" t="s">
        <v>84</v>
      </c>
      <c r="G84" s="4" t="s">
        <v>40</v>
      </c>
      <c r="H84" s="4"/>
      <c r="I84" s="4" t="s">
        <v>146</v>
      </c>
      <c r="J84" s="4" t="s">
        <v>70</v>
      </c>
      <c r="K84" s="4" t="s">
        <v>71</v>
      </c>
      <c r="L84" s="4" t="s">
        <v>58</v>
      </c>
      <c r="M84" s="4" t="s">
        <v>58</v>
      </c>
      <c r="N84" s="4" t="s">
        <v>58</v>
      </c>
      <c r="O84" s="4" t="s">
        <v>58</v>
      </c>
      <c r="P84" s="4" t="s">
        <v>58</v>
      </c>
      <c r="Q84" s="4" t="s">
        <v>58</v>
      </c>
      <c r="R84" s="6" t="n">
        <v>1.939</v>
      </c>
      <c r="S84" s="6" t="n">
        <v>38.722</v>
      </c>
      <c r="T84" s="4"/>
      <c r="U84" s="4" t="s">
        <v>42</v>
      </c>
      <c r="V84" s="4" t="s">
        <v>59</v>
      </c>
      <c r="W84" s="4" t="s">
        <v>58</v>
      </c>
      <c r="X84" s="4" t="s">
        <v>60</v>
      </c>
      <c r="Y84" s="4" t="s">
        <v>58</v>
      </c>
      <c r="Z84" s="4" t="s">
        <v>399</v>
      </c>
      <c r="AA84" s="6" t="n">
        <v>29.235</v>
      </c>
      <c r="AB84" s="6" t="n">
        <v>25.554</v>
      </c>
      <c r="AC84" s="6" t="n">
        <v>13.168</v>
      </c>
      <c r="AD84" s="4" t="s">
        <v>43</v>
      </c>
      <c r="AE84" s="4" t="s">
        <v>112</v>
      </c>
      <c r="AF84" s="4" t="s">
        <v>63</v>
      </c>
      <c r="AG84" s="5" t="s">
        <v>400</v>
      </c>
      <c r="AH84" s="5" t="s">
        <v>65</v>
      </c>
      <c r="AI84" s="5" t="s">
        <v>45</v>
      </c>
    </row>
    <row r="85" customFormat="false" ht="15" hidden="false" customHeight="true" outlineLevel="0" collapsed="false">
      <c r="A85" s="3" t="s">
        <v>401</v>
      </c>
      <c r="B85" s="4" t="s">
        <v>380</v>
      </c>
      <c r="C85" s="4"/>
      <c r="D85" s="4" t="s">
        <v>367</v>
      </c>
      <c r="E85" s="4" t="s">
        <v>150</v>
      </c>
      <c r="F85" s="4" t="s">
        <v>151</v>
      </c>
      <c r="G85" s="4" t="s">
        <v>40</v>
      </c>
      <c r="H85" s="4"/>
      <c r="I85" s="4" t="s">
        <v>402</v>
      </c>
      <c r="J85" s="4" t="s">
        <v>51</v>
      </c>
      <c r="K85" s="4" t="s">
        <v>51</v>
      </c>
      <c r="L85" s="4" t="s">
        <v>58</v>
      </c>
      <c r="M85" s="4"/>
      <c r="N85" s="4"/>
      <c r="O85" s="4"/>
      <c r="P85" s="4"/>
      <c r="Q85" s="4"/>
      <c r="R85" s="6" t="n">
        <v>4.534</v>
      </c>
      <c r="S85" s="4"/>
      <c r="T85" s="4"/>
      <c r="U85" s="4" t="s">
        <v>42</v>
      </c>
      <c r="V85" s="4" t="s">
        <v>100</v>
      </c>
      <c r="W85" s="4"/>
      <c r="X85" s="4"/>
      <c r="Y85" s="4"/>
      <c r="Z85" s="4"/>
      <c r="AA85" s="4"/>
      <c r="AB85" s="4"/>
      <c r="AC85" s="4"/>
      <c r="AD85" s="4" t="s">
        <v>43</v>
      </c>
      <c r="AE85" s="4" t="s">
        <v>157</v>
      </c>
      <c r="AF85" s="4" t="s">
        <v>197</v>
      </c>
      <c r="AG85" s="5" t="s">
        <v>403</v>
      </c>
      <c r="AH85" s="5" t="s">
        <v>65</v>
      </c>
      <c r="AI85" s="5" t="s">
        <v>45</v>
      </c>
    </row>
    <row r="86" customFormat="false" ht="15" hidden="false" customHeight="true" outlineLevel="0" collapsed="false">
      <c r="A86" s="3" t="s">
        <v>404</v>
      </c>
      <c r="B86" s="4" t="s">
        <v>380</v>
      </c>
      <c r="C86" s="4"/>
      <c r="D86" s="4" t="s">
        <v>367</v>
      </c>
      <c r="E86" s="4" t="s">
        <v>38</v>
      </c>
      <c r="F86" s="4" t="s">
        <v>39</v>
      </c>
      <c r="G86" s="4" t="s">
        <v>40</v>
      </c>
      <c r="H86" s="4"/>
      <c r="I86" s="4" t="s">
        <v>405</v>
      </c>
      <c r="J86" s="4" t="s">
        <v>51</v>
      </c>
      <c r="K86" s="4" t="s">
        <v>51</v>
      </c>
      <c r="L86" s="4" t="s">
        <v>58</v>
      </c>
      <c r="M86" s="4" t="s">
        <v>58</v>
      </c>
      <c r="N86" s="4"/>
      <c r="O86" s="4"/>
      <c r="P86" s="4"/>
      <c r="Q86" s="4" t="s">
        <v>58</v>
      </c>
      <c r="R86" s="4"/>
      <c r="S86" s="4"/>
      <c r="T86" s="4"/>
      <c r="U86" s="4" t="s">
        <v>42</v>
      </c>
      <c r="V86" s="4"/>
      <c r="W86" s="4"/>
      <c r="X86" s="4"/>
      <c r="Y86" s="4"/>
      <c r="Z86" s="4"/>
      <c r="AA86" s="4"/>
      <c r="AB86" s="4"/>
      <c r="AC86" s="4"/>
      <c r="AD86" s="4" t="s">
        <v>43</v>
      </c>
      <c r="AE86" s="4"/>
      <c r="AF86" s="4"/>
      <c r="AG86" s="5" t="s">
        <v>406</v>
      </c>
      <c r="AI86" s="5" t="s">
        <v>45</v>
      </c>
    </row>
    <row r="87" customFormat="false" ht="15" hidden="false" customHeight="true" outlineLevel="0" collapsed="false">
      <c r="A87" s="3" t="s">
        <v>407</v>
      </c>
      <c r="B87" s="4" t="s">
        <v>380</v>
      </c>
      <c r="C87" s="4"/>
      <c r="D87" s="4" t="s">
        <v>367</v>
      </c>
      <c r="E87" s="4" t="s">
        <v>54</v>
      </c>
      <c r="F87" s="4" t="s">
        <v>55</v>
      </c>
      <c r="G87" s="4" t="s">
        <v>40</v>
      </c>
      <c r="H87" s="4"/>
      <c r="I87" s="4" t="s">
        <v>344</v>
      </c>
      <c r="J87" s="4" t="s">
        <v>99</v>
      </c>
      <c r="K87" s="4" t="s">
        <v>251</v>
      </c>
      <c r="L87" s="4" t="s">
        <v>58</v>
      </c>
      <c r="M87" s="4" t="s">
        <v>58</v>
      </c>
      <c r="N87" s="4" t="s">
        <v>58</v>
      </c>
      <c r="O87" s="4" t="s">
        <v>58</v>
      </c>
      <c r="P87" s="4" t="s">
        <v>58</v>
      </c>
      <c r="Q87" s="4" t="s">
        <v>58</v>
      </c>
      <c r="R87" s="6" t="n">
        <v>2.167</v>
      </c>
      <c r="S87" s="6" t="n">
        <v>48.033</v>
      </c>
      <c r="T87" s="4"/>
      <c r="U87" s="4" t="s">
        <v>42</v>
      </c>
      <c r="V87" s="4" t="s">
        <v>59</v>
      </c>
      <c r="W87" s="4" t="s">
        <v>58</v>
      </c>
      <c r="X87" s="4" t="s">
        <v>60</v>
      </c>
      <c r="Y87" s="4" t="s">
        <v>58</v>
      </c>
      <c r="Z87" s="4" t="s">
        <v>408</v>
      </c>
      <c r="AA87" s="6" t="n">
        <v>46.175</v>
      </c>
      <c r="AB87" s="6" t="n">
        <v>27.487</v>
      </c>
      <c r="AC87" s="6" t="n">
        <v>20.546</v>
      </c>
      <c r="AD87" s="4" t="s">
        <v>43</v>
      </c>
      <c r="AE87" s="4" t="s">
        <v>102</v>
      </c>
      <c r="AF87" s="4" t="s">
        <v>63</v>
      </c>
      <c r="AG87" s="5" t="s">
        <v>409</v>
      </c>
      <c r="AH87" s="5" t="s">
        <v>65</v>
      </c>
      <c r="AI87" s="5" t="s">
        <v>45</v>
      </c>
    </row>
    <row r="88" customFormat="false" ht="15" hidden="false" customHeight="true" outlineLevel="0" collapsed="false">
      <c r="A88" s="3" t="s">
        <v>410</v>
      </c>
      <c r="B88" s="4" t="s">
        <v>380</v>
      </c>
      <c r="C88" s="4"/>
      <c r="D88" s="4" t="s">
        <v>367</v>
      </c>
      <c r="E88" s="4" t="s">
        <v>47</v>
      </c>
      <c r="F88" s="4" t="s">
        <v>48</v>
      </c>
      <c r="G88" s="4" t="s">
        <v>40</v>
      </c>
      <c r="H88" s="4" t="s">
        <v>324</v>
      </c>
      <c r="I88" s="4" t="s">
        <v>411</v>
      </c>
      <c r="J88" s="4" t="s">
        <v>412</v>
      </c>
      <c r="K88" s="4" t="s">
        <v>51</v>
      </c>
      <c r="L88" s="4" t="s">
        <v>58</v>
      </c>
      <c r="M88" s="4" t="s">
        <v>58</v>
      </c>
      <c r="N88" s="4"/>
      <c r="O88" s="4"/>
      <c r="P88" s="4"/>
      <c r="Q88" s="4" t="s">
        <v>58</v>
      </c>
      <c r="R88" s="4"/>
      <c r="S88" s="4"/>
      <c r="T88" s="4" t="s">
        <v>413</v>
      </c>
      <c r="U88" s="4" t="s">
        <v>42</v>
      </c>
      <c r="V88" s="4"/>
      <c r="W88" s="4"/>
      <c r="X88" s="4"/>
      <c r="Y88" s="4"/>
      <c r="Z88" s="4"/>
      <c r="AA88" s="4"/>
      <c r="AB88" s="4"/>
      <c r="AC88" s="4"/>
      <c r="AD88" s="4" t="s">
        <v>43</v>
      </c>
      <c r="AE88" s="4"/>
      <c r="AF88" s="4"/>
      <c r="AG88" s="5" t="s">
        <v>414</v>
      </c>
      <c r="AI88" s="5" t="s">
        <v>45</v>
      </c>
    </row>
    <row r="89" customFormat="false" ht="15" hidden="false" customHeight="false" outlineLevel="0" collapsed="false">
      <c r="A89" s="3" t="s">
        <v>415</v>
      </c>
      <c r="B89" s="4" t="s">
        <v>380</v>
      </c>
      <c r="C89" s="4"/>
      <c r="D89" s="4" t="s">
        <v>37</v>
      </c>
      <c r="E89" s="4" t="s">
        <v>54</v>
      </c>
      <c r="F89" s="4" t="s">
        <v>55</v>
      </c>
      <c r="G89" s="4" t="s">
        <v>40</v>
      </c>
      <c r="H89" s="4"/>
      <c r="I89" s="4" t="s">
        <v>416</v>
      </c>
      <c r="J89" s="4" t="s">
        <v>99</v>
      </c>
      <c r="K89" s="4" t="s">
        <v>57</v>
      </c>
      <c r="L89" s="4" t="s">
        <v>58</v>
      </c>
      <c r="M89" s="4" t="s">
        <v>58</v>
      </c>
      <c r="N89" s="4" t="s">
        <v>58</v>
      </c>
      <c r="O89" s="4" t="s">
        <v>58</v>
      </c>
      <c r="P89" s="4" t="s">
        <v>58</v>
      </c>
      <c r="Q89" s="4" t="s">
        <v>58</v>
      </c>
      <c r="R89" s="6" t="n">
        <v>4.55</v>
      </c>
      <c r="S89" s="6" t="n">
        <v>47.644</v>
      </c>
      <c r="T89" s="4"/>
      <c r="U89" s="4" t="s">
        <v>42</v>
      </c>
      <c r="V89" s="4" t="s">
        <v>100</v>
      </c>
      <c r="W89" s="4" t="s">
        <v>58</v>
      </c>
      <c r="X89" s="4" t="s">
        <v>60</v>
      </c>
      <c r="Y89" s="4" t="s">
        <v>58</v>
      </c>
      <c r="Z89" s="4" t="s">
        <v>139</v>
      </c>
      <c r="AA89" s="6" t="n">
        <v>33.702</v>
      </c>
      <c r="AB89" s="6" t="n">
        <v>25.299</v>
      </c>
      <c r="AC89" s="6" t="n">
        <v>22.345</v>
      </c>
      <c r="AD89" s="4" t="s">
        <v>43</v>
      </c>
      <c r="AE89" s="4" t="s">
        <v>102</v>
      </c>
      <c r="AF89" s="4" t="s">
        <v>63</v>
      </c>
      <c r="AG89" s="10" t="s">
        <v>417</v>
      </c>
      <c r="AH89" s="10" t="s">
        <v>65</v>
      </c>
      <c r="AI89" s="10" t="s">
        <v>45</v>
      </c>
    </row>
  </sheetData>
  <autoFilter ref="A1:AI89"/>
  <conditionalFormatting sqref="L2:Q10">
    <cfRule type="cellIs" priority="2" operator="equal" aboveAverage="0" equalAverage="0" bottom="0" percent="0" rank="0" text="" dxfId="7">
      <formula>"yes"</formula>
    </cfRule>
    <cfRule type="cellIs" priority="3" operator="equal" aboveAverage="0" equalAverage="0" bottom="0" percent="0" rank="0" text="" dxfId="8">
      <formula>"no"</formula>
    </cfRule>
  </conditionalFormatting>
  <conditionalFormatting sqref="L10:Q10">
    <cfRule type="cellIs" priority="4" operator="equal" aboveAverage="0" equalAverage="0" bottom="0" percent="0" rank="0" text="" dxfId="7">
      <formula>"yes"</formula>
    </cfRule>
    <cfRule type="cellIs" priority="5" operator="equal" aboveAverage="0" equalAverage="0" bottom="0" percent="0" rank="0" text="" dxfId="8">
      <formula>"no"</formula>
    </cfRule>
  </conditionalFormatting>
  <conditionalFormatting sqref="L11:Q11">
    <cfRule type="cellIs" priority="6" operator="equal" aboveAverage="0" equalAverage="0" bottom="0" percent="0" rank="0" text="" dxfId="7">
      <formula>"yes"</formula>
    </cfRule>
    <cfRule type="cellIs" priority="7" operator="equal" aboveAverage="0" equalAverage="0" bottom="0" percent="0" rank="0" text="" dxfId="8">
      <formula>"no"</formula>
    </cfRule>
  </conditionalFormatting>
  <conditionalFormatting sqref="L12:Q12">
    <cfRule type="cellIs" priority="8" operator="equal" aboveAverage="0" equalAverage="0" bottom="0" percent="0" rank="0" text="" dxfId="7">
      <formula>"yes"</formula>
    </cfRule>
    <cfRule type="cellIs" priority="9" operator="equal" aboveAverage="0" equalAverage="0" bottom="0" percent="0" rank="0" text="" dxfId="8">
      <formula>"no"</formula>
    </cfRule>
  </conditionalFormatting>
  <conditionalFormatting sqref="L13:Q13">
    <cfRule type="cellIs" priority="10" operator="equal" aboveAverage="0" equalAverage="0" bottom="0" percent="0" rank="0" text="" dxfId="7">
      <formula>"yes"</formula>
    </cfRule>
    <cfRule type="cellIs" priority="11" operator="equal" aboveAverage="0" equalAverage="0" bottom="0" percent="0" rank="0" text="" dxfId="8">
      <formula>"no"</formula>
    </cfRule>
  </conditionalFormatting>
  <conditionalFormatting sqref="L14:Q14">
    <cfRule type="cellIs" priority="12" operator="equal" aboveAverage="0" equalAverage="0" bottom="0" percent="0" rank="0" text="" dxfId="7">
      <formula>"yes"</formula>
    </cfRule>
    <cfRule type="cellIs" priority="13" operator="equal" aboveAverage="0" equalAverage="0" bottom="0" percent="0" rank="0" text="" dxfId="8">
      <formula>"no"</formula>
    </cfRule>
  </conditionalFormatting>
  <conditionalFormatting sqref="L15:Q15">
    <cfRule type="cellIs" priority="14" operator="equal" aboveAverage="0" equalAverage="0" bottom="0" percent="0" rank="0" text="" dxfId="7">
      <formula>"yes"</formula>
    </cfRule>
    <cfRule type="cellIs" priority="15" operator="equal" aboveAverage="0" equalAverage="0" bottom="0" percent="0" rank="0" text="" dxfId="8">
      <formula>"no"</formula>
    </cfRule>
  </conditionalFormatting>
  <conditionalFormatting sqref="L16:Q16">
    <cfRule type="cellIs" priority="16" operator="equal" aboveAverage="0" equalAverage="0" bottom="0" percent="0" rank="0" text="" dxfId="7">
      <formula>"yes"</formula>
    </cfRule>
    <cfRule type="cellIs" priority="17" operator="equal" aboveAverage="0" equalAverage="0" bottom="0" percent="0" rank="0" text="" dxfId="8">
      <formula>"no"</formula>
    </cfRule>
  </conditionalFormatting>
  <conditionalFormatting sqref="L17:Q17">
    <cfRule type="cellIs" priority="18" operator="equal" aboveAverage="0" equalAverage="0" bottom="0" percent="0" rank="0" text="" dxfId="7">
      <formula>"yes"</formula>
    </cfRule>
    <cfRule type="cellIs" priority="19" operator="equal" aboveAverage="0" equalAverage="0" bottom="0" percent="0" rank="0" text="" dxfId="8">
      <formula>"no"</formula>
    </cfRule>
  </conditionalFormatting>
  <conditionalFormatting sqref="L18:Q18">
    <cfRule type="cellIs" priority="20" operator="equal" aboveAverage="0" equalAverage="0" bottom="0" percent="0" rank="0" text="" dxfId="7">
      <formula>"yes"</formula>
    </cfRule>
    <cfRule type="cellIs" priority="21" operator="equal" aboveAverage="0" equalAverage="0" bottom="0" percent="0" rank="0" text="" dxfId="8">
      <formula>"no"</formula>
    </cfRule>
  </conditionalFormatting>
  <conditionalFormatting sqref="L19:Q19">
    <cfRule type="cellIs" priority="22" operator="equal" aboveAverage="0" equalAverage="0" bottom="0" percent="0" rank="0" text="" dxfId="7">
      <formula>"yes"</formula>
    </cfRule>
    <cfRule type="cellIs" priority="23" operator="equal" aboveAverage="0" equalAverage="0" bottom="0" percent="0" rank="0" text="" dxfId="8">
      <formula>"no"</formula>
    </cfRule>
  </conditionalFormatting>
  <conditionalFormatting sqref="L20:Q20">
    <cfRule type="cellIs" priority="24" operator="equal" aboveAverage="0" equalAverage="0" bottom="0" percent="0" rank="0" text="" dxfId="7">
      <formula>"yes"</formula>
    </cfRule>
    <cfRule type="cellIs" priority="25" operator="equal" aboveAverage="0" equalAverage="0" bottom="0" percent="0" rank="0" text="" dxfId="8">
      <formula>"no"</formula>
    </cfRule>
  </conditionalFormatting>
  <conditionalFormatting sqref="L21:Q21">
    <cfRule type="cellIs" priority="26" operator="equal" aboveAverage="0" equalAverage="0" bottom="0" percent="0" rank="0" text="" dxfId="7">
      <formula>"yes"</formula>
    </cfRule>
    <cfRule type="cellIs" priority="27" operator="equal" aboveAverage="0" equalAverage="0" bottom="0" percent="0" rank="0" text="" dxfId="8">
      <formula>"no"</formula>
    </cfRule>
  </conditionalFormatting>
  <conditionalFormatting sqref="L22:Q22">
    <cfRule type="cellIs" priority="28" operator="equal" aboveAverage="0" equalAverage="0" bottom="0" percent="0" rank="0" text="" dxfId="7">
      <formula>"yes"</formula>
    </cfRule>
    <cfRule type="cellIs" priority="29" operator="equal" aboveAverage="0" equalAverage="0" bottom="0" percent="0" rank="0" text="" dxfId="8">
      <formula>"no"</formula>
    </cfRule>
  </conditionalFormatting>
  <conditionalFormatting sqref="L23:Q23">
    <cfRule type="cellIs" priority="30" operator="equal" aboveAverage="0" equalAverage="0" bottom="0" percent="0" rank="0" text="" dxfId="7">
      <formula>"yes"</formula>
    </cfRule>
    <cfRule type="cellIs" priority="31" operator="equal" aboveAverage="0" equalAverage="0" bottom="0" percent="0" rank="0" text="" dxfId="8">
      <formula>"no"</formula>
    </cfRule>
  </conditionalFormatting>
  <conditionalFormatting sqref="L24:Q24">
    <cfRule type="cellIs" priority="32" operator="equal" aboveAverage="0" equalAverage="0" bottom="0" percent="0" rank="0" text="" dxfId="7">
      <formula>"yes"</formula>
    </cfRule>
    <cfRule type="cellIs" priority="33" operator="equal" aboveAverage="0" equalAverage="0" bottom="0" percent="0" rank="0" text="" dxfId="8">
      <formula>"no"</formula>
    </cfRule>
  </conditionalFormatting>
  <conditionalFormatting sqref="L25:Q25">
    <cfRule type="cellIs" priority="34" operator="equal" aboveAverage="0" equalAverage="0" bottom="0" percent="0" rank="0" text="" dxfId="7">
      <formula>"yes"</formula>
    </cfRule>
    <cfRule type="cellIs" priority="35" operator="equal" aboveAverage="0" equalAverage="0" bottom="0" percent="0" rank="0" text="" dxfId="8">
      <formula>"no"</formula>
    </cfRule>
  </conditionalFormatting>
  <conditionalFormatting sqref="L26:Q27">
    <cfRule type="cellIs" priority="36" operator="equal" aboveAverage="0" equalAverage="0" bottom="0" percent="0" rank="0" text="" dxfId="7">
      <formula>"yes"</formula>
    </cfRule>
    <cfRule type="cellIs" priority="37" operator="equal" aboveAverage="0" equalAverage="0" bottom="0" percent="0" rank="0" text="" dxfId="8">
      <formula>"no"</formula>
    </cfRule>
  </conditionalFormatting>
  <conditionalFormatting sqref="L28:Q28">
    <cfRule type="cellIs" priority="38" operator="equal" aboveAverage="0" equalAverage="0" bottom="0" percent="0" rank="0" text="" dxfId="7">
      <formula>"yes"</formula>
    </cfRule>
    <cfRule type="cellIs" priority="39" operator="equal" aboveAverage="0" equalAverage="0" bottom="0" percent="0" rank="0" text="" dxfId="8">
      <formula>"no"</formula>
    </cfRule>
  </conditionalFormatting>
  <conditionalFormatting sqref="L29:Q29">
    <cfRule type="cellIs" priority="40" operator="equal" aboveAverage="0" equalAverage="0" bottom="0" percent="0" rank="0" text="" dxfId="7">
      <formula>"yes"</formula>
    </cfRule>
    <cfRule type="cellIs" priority="41" operator="equal" aboveAverage="0" equalAverage="0" bottom="0" percent="0" rank="0" text="" dxfId="8">
      <formula>"no"</formula>
    </cfRule>
  </conditionalFormatting>
  <conditionalFormatting sqref="L30:Q30">
    <cfRule type="cellIs" priority="42" operator="equal" aboveAverage="0" equalAverage="0" bottom="0" percent="0" rank="0" text="" dxfId="7">
      <formula>"yes"</formula>
    </cfRule>
    <cfRule type="cellIs" priority="43" operator="equal" aboveAverage="0" equalAverage="0" bottom="0" percent="0" rank="0" text="" dxfId="8">
      <formula>"no"</formula>
    </cfRule>
  </conditionalFormatting>
  <conditionalFormatting sqref="L31:Q31">
    <cfRule type="cellIs" priority="44" operator="equal" aboveAverage="0" equalAverage="0" bottom="0" percent="0" rank="0" text="" dxfId="7">
      <formula>"yes"</formula>
    </cfRule>
    <cfRule type="cellIs" priority="45" operator="equal" aboveAverage="0" equalAverage="0" bottom="0" percent="0" rank="0" text="" dxfId="8">
      <formula>"no"</formula>
    </cfRule>
  </conditionalFormatting>
  <conditionalFormatting sqref="L32:Q34">
    <cfRule type="cellIs" priority="46" operator="equal" aboveAverage="0" equalAverage="0" bottom="0" percent="0" rank="0" text="" dxfId="7">
      <formula>"yes"</formula>
    </cfRule>
    <cfRule type="cellIs" priority="47" operator="equal" aboveAverage="0" equalAverage="0" bottom="0" percent="0" rank="0" text="" dxfId="8">
      <formula>"no"</formula>
    </cfRule>
  </conditionalFormatting>
  <conditionalFormatting sqref="L35:Q35">
    <cfRule type="cellIs" priority="48" operator="equal" aboveAverage="0" equalAverage="0" bottom="0" percent="0" rank="0" text="" dxfId="7">
      <formula>"yes"</formula>
    </cfRule>
    <cfRule type="cellIs" priority="49" operator="equal" aboveAverage="0" equalAverage="0" bottom="0" percent="0" rank="0" text="" dxfId="8">
      <formula>"no"</formula>
    </cfRule>
  </conditionalFormatting>
  <conditionalFormatting sqref="L36:Q36">
    <cfRule type="cellIs" priority="50" operator="equal" aboveAverage="0" equalAverage="0" bottom="0" percent="0" rank="0" text="" dxfId="7">
      <formula>"yes"</formula>
    </cfRule>
    <cfRule type="cellIs" priority="51" operator="equal" aboveAverage="0" equalAverage="0" bottom="0" percent="0" rank="0" text="" dxfId="8">
      <formula>"no"</formula>
    </cfRule>
  </conditionalFormatting>
  <conditionalFormatting sqref="L37:Q37">
    <cfRule type="cellIs" priority="52" operator="equal" aboveAverage="0" equalAverage="0" bottom="0" percent="0" rank="0" text="" dxfId="7">
      <formula>"yes"</formula>
    </cfRule>
    <cfRule type="cellIs" priority="53" operator="equal" aboveAverage="0" equalAverage="0" bottom="0" percent="0" rank="0" text="" dxfId="8">
      <formula>"no"</formula>
    </cfRule>
  </conditionalFormatting>
  <conditionalFormatting sqref="L38:Q38">
    <cfRule type="cellIs" priority="54" operator="equal" aboveAverage="0" equalAverage="0" bottom="0" percent="0" rank="0" text="" dxfId="7">
      <formula>"yes"</formula>
    </cfRule>
    <cfRule type="cellIs" priority="55" operator="equal" aboveAverage="0" equalAverage="0" bottom="0" percent="0" rank="0" text="" dxfId="8">
      <formula>"no"</formula>
    </cfRule>
  </conditionalFormatting>
  <conditionalFormatting sqref="L39:Q39">
    <cfRule type="cellIs" priority="56" operator="equal" aboveAverage="0" equalAverage="0" bottom="0" percent="0" rank="0" text="" dxfId="7">
      <formula>"yes"</formula>
    </cfRule>
    <cfRule type="cellIs" priority="57" operator="equal" aboveAverage="0" equalAverage="0" bottom="0" percent="0" rank="0" text="" dxfId="8">
      <formula>"no"</formula>
    </cfRule>
  </conditionalFormatting>
  <conditionalFormatting sqref="L40:Q40">
    <cfRule type="cellIs" priority="58" operator="equal" aboveAverage="0" equalAverage="0" bottom="0" percent="0" rank="0" text="" dxfId="7">
      <formula>"yes"</formula>
    </cfRule>
    <cfRule type="cellIs" priority="59" operator="equal" aboveAverage="0" equalAverage="0" bottom="0" percent="0" rank="0" text="" dxfId="8">
      <formula>"no"</formula>
    </cfRule>
  </conditionalFormatting>
  <conditionalFormatting sqref="L41:Q41">
    <cfRule type="cellIs" priority="60" operator="equal" aboveAverage="0" equalAverage="0" bottom="0" percent="0" rank="0" text="" dxfId="7">
      <formula>"yes"</formula>
    </cfRule>
    <cfRule type="cellIs" priority="61" operator="equal" aboveAverage="0" equalAverage="0" bottom="0" percent="0" rank="0" text="" dxfId="8">
      <formula>"no"</formula>
    </cfRule>
  </conditionalFormatting>
  <conditionalFormatting sqref="L42:Q42">
    <cfRule type="cellIs" priority="62" operator="equal" aboveAverage="0" equalAverage="0" bottom="0" percent="0" rank="0" text="" dxfId="7">
      <formula>"yes"</formula>
    </cfRule>
    <cfRule type="cellIs" priority="63" operator="equal" aboveAverage="0" equalAverage="0" bottom="0" percent="0" rank="0" text="" dxfId="8">
      <formula>"no"</formula>
    </cfRule>
  </conditionalFormatting>
  <conditionalFormatting sqref="L43:Q43">
    <cfRule type="cellIs" priority="64" operator="equal" aboveAverage="0" equalAverage="0" bottom="0" percent="0" rank="0" text="" dxfId="7">
      <formula>"yes"</formula>
    </cfRule>
    <cfRule type="cellIs" priority="65" operator="equal" aboveAverage="0" equalAverage="0" bottom="0" percent="0" rank="0" text="" dxfId="8">
      <formula>"no"</formula>
    </cfRule>
  </conditionalFormatting>
  <conditionalFormatting sqref="L44:Q44">
    <cfRule type="cellIs" priority="66" operator="equal" aboveAverage="0" equalAverage="0" bottom="0" percent="0" rank="0" text="" dxfId="7">
      <formula>"yes"</formula>
    </cfRule>
    <cfRule type="cellIs" priority="67" operator="equal" aboveAverage="0" equalAverage="0" bottom="0" percent="0" rank="0" text="" dxfId="8">
      <formula>"no"</formula>
    </cfRule>
  </conditionalFormatting>
  <conditionalFormatting sqref="L45:Q45">
    <cfRule type="cellIs" priority="68" operator="equal" aboveAverage="0" equalAverage="0" bottom="0" percent="0" rank="0" text="" dxfId="7">
      <formula>"yes"</formula>
    </cfRule>
    <cfRule type="cellIs" priority="69" operator="equal" aboveAverage="0" equalAverage="0" bottom="0" percent="0" rank="0" text="" dxfId="8">
      <formula>"no"</formula>
    </cfRule>
  </conditionalFormatting>
  <conditionalFormatting sqref="L46:Q46">
    <cfRule type="cellIs" priority="70" operator="equal" aboveAverage="0" equalAverage="0" bottom="0" percent="0" rank="0" text="" dxfId="7">
      <formula>"yes"</formula>
    </cfRule>
    <cfRule type="cellIs" priority="71" operator="equal" aboveAverage="0" equalAverage="0" bottom="0" percent="0" rank="0" text="" dxfId="8">
      <formula>"no"</formula>
    </cfRule>
  </conditionalFormatting>
  <conditionalFormatting sqref="L47:Q47">
    <cfRule type="cellIs" priority="72" operator="equal" aboveAverage="0" equalAverage="0" bottom="0" percent="0" rank="0" text="" dxfId="7">
      <formula>"yes"</formula>
    </cfRule>
    <cfRule type="cellIs" priority="73" operator="equal" aboveAverage="0" equalAverage="0" bottom="0" percent="0" rank="0" text="" dxfId="8">
      <formula>"no"</formula>
    </cfRule>
  </conditionalFormatting>
  <conditionalFormatting sqref="L48:Q48">
    <cfRule type="cellIs" priority="74" operator="equal" aboveAverage="0" equalAverage="0" bottom="0" percent="0" rank="0" text="" dxfId="7">
      <formula>"yes"</formula>
    </cfRule>
    <cfRule type="cellIs" priority="75" operator="equal" aboveAverage="0" equalAverage="0" bottom="0" percent="0" rank="0" text="" dxfId="8">
      <formula>"no"</formula>
    </cfRule>
  </conditionalFormatting>
  <conditionalFormatting sqref="L49:Q49">
    <cfRule type="cellIs" priority="76" operator="equal" aboveAverage="0" equalAverage="0" bottom="0" percent="0" rank="0" text="" dxfId="7">
      <formula>"yes"</formula>
    </cfRule>
    <cfRule type="cellIs" priority="77" operator="equal" aboveAverage="0" equalAverage="0" bottom="0" percent="0" rank="0" text="" dxfId="8">
      <formula>"no"</formula>
    </cfRule>
  </conditionalFormatting>
  <conditionalFormatting sqref="L50:Q50">
    <cfRule type="cellIs" priority="78" operator="equal" aboveAverage="0" equalAverage="0" bottom="0" percent="0" rank="0" text="" dxfId="7">
      <formula>"yes"</formula>
    </cfRule>
    <cfRule type="cellIs" priority="79" operator="equal" aboveAverage="0" equalAverage="0" bottom="0" percent="0" rank="0" text="" dxfId="8">
      <formula>"no"</formula>
    </cfRule>
  </conditionalFormatting>
  <conditionalFormatting sqref="L51:Q51">
    <cfRule type="cellIs" priority="80" operator="equal" aboveAverage="0" equalAverage="0" bottom="0" percent="0" rank="0" text="" dxfId="7">
      <formula>"yes"</formula>
    </cfRule>
    <cfRule type="cellIs" priority="81" operator="equal" aboveAverage="0" equalAverage="0" bottom="0" percent="0" rank="0" text="" dxfId="8">
      <formula>"no"</formula>
    </cfRule>
  </conditionalFormatting>
  <conditionalFormatting sqref="L52:Q52">
    <cfRule type="cellIs" priority="82" operator="equal" aboveAverage="0" equalAverage="0" bottom="0" percent="0" rank="0" text="" dxfId="7">
      <formula>"yes"</formula>
    </cfRule>
    <cfRule type="cellIs" priority="83" operator="equal" aboveAverage="0" equalAverage="0" bottom="0" percent="0" rank="0" text="" dxfId="8">
      <formula>"no"</formula>
    </cfRule>
  </conditionalFormatting>
  <conditionalFormatting sqref="L53:Q53">
    <cfRule type="cellIs" priority="84" operator="equal" aboveAverage="0" equalAverage="0" bottom="0" percent="0" rank="0" text="" dxfId="7">
      <formula>"yes"</formula>
    </cfRule>
    <cfRule type="cellIs" priority="85" operator="equal" aboveAverage="0" equalAverage="0" bottom="0" percent="0" rank="0" text="" dxfId="8">
      <formula>"no"</formula>
    </cfRule>
  </conditionalFormatting>
  <conditionalFormatting sqref="L54:Q54">
    <cfRule type="cellIs" priority="86" operator="equal" aboveAverage="0" equalAverage="0" bottom="0" percent="0" rank="0" text="" dxfId="7">
      <formula>"yes"</formula>
    </cfRule>
    <cfRule type="cellIs" priority="87" operator="equal" aboveAverage="0" equalAverage="0" bottom="0" percent="0" rank="0" text="" dxfId="8">
      <formula>"no"</formula>
    </cfRule>
  </conditionalFormatting>
  <conditionalFormatting sqref="L55:Q55">
    <cfRule type="cellIs" priority="88" operator="equal" aboveAverage="0" equalAverage="0" bottom="0" percent="0" rank="0" text="" dxfId="7">
      <formula>"yes"</formula>
    </cfRule>
    <cfRule type="cellIs" priority="89" operator="equal" aboveAverage="0" equalAverage="0" bottom="0" percent="0" rank="0" text="" dxfId="8">
      <formula>"no"</formula>
    </cfRule>
  </conditionalFormatting>
  <conditionalFormatting sqref="L56:Q56">
    <cfRule type="cellIs" priority="90" operator="equal" aboveAverage="0" equalAverage="0" bottom="0" percent="0" rank="0" text="" dxfId="7">
      <formula>"yes"</formula>
    </cfRule>
    <cfRule type="cellIs" priority="91" operator="equal" aboveAverage="0" equalAverage="0" bottom="0" percent="0" rank="0" text="" dxfId="8">
      <formula>"no"</formula>
    </cfRule>
  </conditionalFormatting>
  <conditionalFormatting sqref="L57:Q59">
    <cfRule type="cellIs" priority="92" operator="equal" aboveAverage="0" equalAverage="0" bottom="0" percent="0" rank="0" text="" dxfId="7">
      <formula>"yes"</formula>
    </cfRule>
    <cfRule type="cellIs" priority="93" operator="equal" aboveAverage="0" equalAverage="0" bottom="0" percent="0" rank="0" text="" dxfId="8">
      <formula>"no"</formula>
    </cfRule>
  </conditionalFormatting>
  <conditionalFormatting sqref="L59:Q59">
    <cfRule type="cellIs" priority="94" operator="equal" aboveAverage="0" equalAverage="0" bottom="0" percent="0" rank="0" text="" dxfId="7">
      <formula>"yes"</formula>
    </cfRule>
    <cfRule type="cellIs" priority="95" operator="equal" aboveAverage="0" equalAverage="0" bottom="0" percent="0" rank="0" text="" dxfId="8">
      <formula>"no"</formula>
    </cfRule>
  </conditionalFormatting>
  <conditionalFormatting sqref="L61:Q61">
    <cfRule type="cellIs" priority="96" operator="equal" aboveAverage="0" equalAverage="0" bottom="0" percent="0" rank="0" text="" dxfId="7">
      <formula>"yes"</formula>
    </cfRule>
    <cfRule type="cellIs" priority="97" operator="equal" aboveAverage="0" equalAverage="0" bottom="0" percent="0" rank="0" text="" dxfId="8">
      <formula>"no"</formula>
    </cfRule>
  </conditionalFormatting>
  <conditionalFormatting sqref="L62:Q64">
    <cfRule type="cellIs" priority="98" operator="equal" aboveAverage="0" equalAverage="0" bottom="0" percent="0" rank="0" text="" dxfId="7">
      <formula>"yes"</formula>
    </cfRule>
    <cfRule type="cellIs" priority="99" operator="equal" aboveAverage="0" equalAverage="0" bottom="0" percent="0" rank="0" text="" dxfId="8">
      <formula>"no"</formula>
    </cfRule>
  </conditionalFormatting>
  <conditionalFormatting sqref="L65:Q65">
    <cfRule type="cellIs" priority="100" operator="equal" aboveAverage="0" equalAverage="0" bottom="0" percent="0" rank="0" text="" dxfId="7">
      <formula>"yes"</formula>
    </cfRule>
    <cfRule type="cellIs" priority="101" operator="equal" aboveAverage="0" equalAverage="0" bottom="0" percent="0" rank="0" text="" dxfId="8">
      <formula>"no"</formula>
    </cfRule>
  </conditionalFormatting>
  <conditionalFormatting sqref="L66:Q66">
    <cfRule type="cellIs" priority="102" operator="equal" aboveAverage="0" equalAverage="0" bottom="0" percent="0" rank="0" text="" dxfId="7">
      <formula>"yes"</formula>
    </cfRule>
    <cfRule type="cellIs" priority="103" operator="equal" aboveAverage="0" equalAverage="0" bottom="0" percent="0" rank="0" text="" dxfId="8">
      <formula>"no"</formula>
    </cfRule>
  </conditionalFormatting>
  <conditionalFormatting sqref="L67:Q69">
    <cfRule type="cellIs" priority="104" operator="equal" aboveAverage="0" equalAverage="0" bottom="0" percent="0" rank="0" text="" dxfId="7">
      <formula>"yes"</formula>
    </cfRule>
    <cfRule type="cellIs" priority="105" operator="equal" aboveAverage="0" equalAverage="0" bottom="0" percent="0" rank="0" text="" dxfId="8">
      <formula>"no"</formula>
    </cfRule>
  </conditionalFormatting>
  <conditionalFormatting sqref="L70:Q70">
    <cfRule type="cellIs" priority="106" operator="equal" aboveAverage="0" equalAverage="0" bottom="0" percent="0" rank="0" text="" dxfId="7">
      <formula>"yes"</formula>
    </cfRule>
    <cfRule type="cellIs" priority="107" operator="equal" aboveAverage="0" equalAverage="0" bottom="0" percent="0" rank="0" text="" dxfId="8">
      <formula>"no"</formula>
    </cfRule>
  </conditionalFormatting>
  <conditionalFormatting sqref="L71:Q71">
    <cfRule type="cellIs" priority="108" operator="equal" aboveAverage="0" equalAverage="0" bottom="0" percent="0" rank="0" text="" dxfId="7">
      <formula>"yes"</formula>
    </cfRule>
    <cfRule type="cellIs" priority="109" operator="equal" aboveAverage="0" equalAverage="0" bottom="0" percent="0" rank="0" text="" dxfId="8">
      <formula>"no"</formula>
    </cfRule>
  </conditionalFormatting>
  <conditionalFormatting sqref="L72:Q72">
    <cfRule type="cellIs" priority="110" operator="equal" aboveAverage="0" equalAverage="0" bottom="0" percent="0" rank="0" text="" dxfId="7">
      <formula>"yes"</formula>
    </cfRule>
    <cfRule type="cellIs" priority="111" operator="equal" aboveAverage="0" equalAverage="0" bottom="0" percent="0" rank="0" text="" dxfId="8">
      <formula>"no"</formula>
    </cfRule>
  </conditionalFormatting>
  <conditionalFormatting sqref="L73:Q73">
    <cfRule type="cellIs" priority="112" operator="equal" aboveAverage="0" equalAverage="0" bottom="0" percent="0" rank="0" text="" dxfId="7">
      <formula>"yes"</formula>
    </cfRule>
    <cfRule type="cellIs" priority="113" operator="equal" aboveAverage="0" equalAverage="0" bottom="0" percent="0" rank="0" text="" dxfId="8">
      <formula>"no"</formula>
    </cfRule>
  </conditionalFormatting>
  <conditionalFormatting sqref="L74:Q74">
    <cfRule type="cellIs" priority="114" operator="equal" aboveAverage="0" equalAverage="0" bottom="0" percent="0" rank="0" text="" dxfId="7">
      <formula>"yes"</formula>
    </cfRule>
    <cfRule type="cellIs" priority="115" operator="equal" aboveAverage="0" equalAverage="0" bottom="0" percent="0" rank="0" text="" dxfId="8">
      <formula>"no"</formula>
    </cfRule>
  </conditionalFormatting>
  <conditionalFormatting sqref="L75:Q75">
    <cfRule type="cellIs" priority="116" operator="equal" aboveAverage="0" equalAverage="0" bottom="0" percent="0" rank="0" text="" dxfId="7">
      <formula>"yes"</formula>
    </cfRule>
    <cfRule type="cellIs" priority="117" operator="equal" aboveAverage="0" equalAverage="0" bottom="0" percent="0" rank="0" text="" dxfId="8">
      <formula>"no"</formula>
    </cfRule>
  </conditionalFormatting>
  <conditionalFormatting sqref="L76:Q77">
    <cfRule type="cellIs" priority="118" operator="equal" aboveAverage="0" equalAverage="0" bottom="0" percent="0" rank="0" text="" dxfId="7">
      <formula>"yes"</formula>
    </cfRule>
    <cfRule type="cellIs" priority="119" operator="equal" aboveAverage="0" equalAverage="0" bottom="0" percent="0" rank="0" text="" dxfId="8">
      <formula>"no"</formula>
    </cfRule>
  </conditionalFormatting>
  <conditionalFormatting sqref="L78:Q78">
    <cfRule type="cellIs" priority="120" operator="equal" aboveAverage="0" equalAverage="0" bottom="0" percent="0" rank="0" text="" dxfId="7">
      <formula>"yes"</formula>
    </cfRule>
    <cfRule type="cellIs" priority="121" operator="equal" aboveAverage="0" equalAverage="0" bottom="0" percent="0" rank="0" text="" dxfId="8">
      <formula>"no"</formula>
    </cfRule>
  </conditionalFormatting>
  <conditionalFormatting sqref="L79:Q79">
    <cfRule type="cellIs" priority="122" operator="equal" aboveAverage="0" equalAverage="0" bottom="0" percent="0" rank="0" text="" dxfId="7">
      <formula>"yes"</formula>
    </cfRule>
    <cfRule type="cellIs" priority="123" operator="equal" aboveAverage="0" equalAverage="0" bottom="0" percent="0" rank="0" text="" dxfId="8">
      <formula>"no"</formula>
    </cfRule>
  </conditionalFormatting>
  <conditionalFormatting sqref="L80:Q80">
    <cfRule type="cellIs" priority="124" operator="equal" aboveAverage="0" equalAverage="0" bottom="0" percent="0" rank="0" text="" dxfId="7">
      <formula>"yes"</formula>
    </cfRule>
    <cfRule type="cellIs" priority="125" operator="equal" aboveAverage="0" equalAverage="0" bottom="0" percent="0" rank="0" text="" dxfId="8">
      <formula>"no"</formula>
    </cfRule>
  </conditionalFormatting>
  <conditionalFormatting sqref="L81:Q81">
    <cfRule type="cellIs" priority="126" operator="equal" aboveAverage="0" equalAverage="0" bottom="0" percent="0" rank="0" text="" dxfId="7">
      <formula>"yes"</formula>
    </cfRule>
    <cfRule type="cellIs" priority="127" operator="equal" aboveAverage="0" equalAverage="0" bottom="0" percent="0" rank="0" text="" dxfId="8">
      <formula>"no"</formula>
    </cfRule>
  </conditionalFormatting>
  <conditionalFormatting sqref="L82:Q82">
    <cfRule type="cellIs" priority="128" operator="equal" aboveAverage="0" equalAverage="0" bottom="0" percent="0" rank="0" text="" dxfId="7">
      <formula>"yes"</formula>
    </cfRule>
    <cfRule type="cellIs" priority="129" operator="equal" aboveAverage="0" equalAverage="0" bottom="0" percent="0" rank="0" text="" dxfId="8">
      <formula>"no"</formula>
    </cfRule>
  </conditionalFormatting>
  <conditionalFormatting sqref="L83:Q86">
    <cfRule type="cellIs" priority="130" operator="equal" aboveAverage="0" equalAverage="0" bottom="0" percent="0" rank="0" text="" dxfId="7">
      <formula>"yes"</formula>
    </cfRule>
    <cfRule type="cellIs" priority="131" operator="equal" aboveAverage="0" equalAverage="0" bottom="0" percent="0" rank="0" text="" dxfId="8">
      <formula>"no"</formula>
    </cfRule>
  </conditionalFormatting>
  <conditionalFormatting sqref="L87:Q87">
    <cfRule type="cellIs" priority="132" operator="equal" aboveAverage="0" equalAverage="0" bottom="0" percent="0" rank="0" text="" dxfId="7">
      <formula>"yes"</formula>
    </cfRule>
    <cfRule type="cellIs" priority="133" operator="equal" aboveAverage="0" equalAverage="0" bottom="0" percent="0" rank="0" text="" dxfId="8">
      <formula>"no"</formula>
    </cfRule>
  </conditionalFormatting>
  <conditionalFormatting sqref="L88:Q88">
    <cfRule type="cellIs" priority="134" operator="equal" aboveAverage="0" equalAverage="0" bottom="0" percent="0" rank="0" text="" dxfId="7">
      <formula>"yes"</formula>
    </cfRule>
    <cfRule type="cellIs" priority="135" operator="equal" aboveAverage="0" equalAverage="0" bottom="0" percent="0" rank="0" text="" dxfId="8">
      <formula>"no"</formula>
    </cfRule>
  </conditionalFormatting>
  <conditionalFormatting sqref="L89:Q89">
    <cfRule type="cellIs" priority="136" operator="equal" aboveAverage="0" equalAverage="0" bottom="0" percent="0" rank="0" text="" dxfId="9">
      <formula>"yes"</formula>
    </cfRule>
    <cfRule type="cellIs" priority="137" operator="equal" aboveAverage="0" equalAverage="0" bottom="0" percent="0" rank="0" text="" dxfId="10">
      <formula>"no"</formula>
    </cfRule>
  </conditionalFormatting>
  <hyperlinks>
    <hyperlink ref="AG2" r:id="rId2" display="trial_086_LA_S1"/>
    <hyperlink ref="AI2" r:id="rId3" display="video"/>
    <hyperlink ref="AG3" r:id="rId4" display="trial_087_LA_S2"/>
    <hyperlink ref="AI3" r:id="rId5" display="video"/>
    <hyperlink ref="AG4" r:id="rId6" display="trial_088_LA_S3"/>
    <hyperlink ref="AH4" r:id="rId7" display="viewer"/>
    <hyperlink ref="AI4" r:id="rId8" display="video"/>
    <hyperlink ref="AG5" r:id="rId9" display="trial_089_LA_S4"/>
    <hyperlink ref="AH5" r:id="rId10" display="viewer"/>
    <hyperlink ref="AI5" r:id="rId11" display="video"/>
    <hyperlink ref="AG6" r:id="rId12" display="trial_090_LA_S5"/>
    <hyperlink ref="AH6" r:id="rId13" display="viewer"/>
    <hyperlink ref="AI6" r:id="rId14" display="video"/>
    <hyperlink ref="AG7" r:id="rId15" display="trial_091_LA_S6"/>
    <hyperlink ref="AH7" r:id="rId16" display="viewer"/>
    <hyperlink ref="AI7" r:id="rId17" display="video"/>
    <hyperlink ref="AG8" r:id="rId18" display="trial_092_LA_S1"/>
    <hyperlink ref="AI8" r:id="rId19" display="video"/>
    <hyperlink ref="AG9" r:id="rId20" display="trial_093_LA_S2"/>
    <hyperlink ref="AI9" r:id="rId21" display="video"/>
    <hyperlink ref="AG10" r:id="rId22" display="trial_095_LA_S3"/>
    <hyperlink ref="AH10" r:id="rId23" display="viewer"/>
    <hyperlink ref="AI10" r:id="rId24" display="video"/>
    <hyperlink ref="AG11" r:id="rId25" display="trial_097_LA_S5"/>
    <hyperlink ref="AH11" r:id="rId26" display="viewer"/>
    <hyperlink ref="AI11" r:id="rId27" display="video"/>
    <hyperlink ref="AG12" r:id="rId28" display="trial_096_LA_S4"/>
    <hyperlink ref="AH12" r:id="rId29" display="viewer"/>
    <hyperlink ref="AI12" r:id="rId30" display="video"/>
    <hyperlink ref="AG13" r:id="rId31" display="trial_099_LA_S3"/>
    <hyperlink ref="AH13" r:id="rId32" display="viewer"/>
    <hyperlink ref="AI13" r:id="rId33" display="video"/>
    <hyperlink ref="AG14" r:id="rId34" display="trial_100_LA_S3"/>
    <hyperlink ref="AH14" r:id="rId35" display="viewer"/>
    <hyperlink ref="AI14" r:id="rId36" display="video"/>
    <hyperlink ref="AG15" r:id="rId37" display="trial_101_LA_S4"/>
    <hyperlink ref="AH15" r:id="rId38" display="viewer"/>
    <hyperlink ref="AI15" r:id="rId39" display="video"/>
    <hyperlink ref="AG16" r:id="rId40" display="trial_105_LA_S1"/>
    <hyperlink ref="AI16" r:id="rId41" display="video"/>
    <hyperlink ref="AG17" r:id="rId42" display="trial_107_LA_S2"/>
    <hyperlink ref="AI17" r:id="rId43" display="video"/>
    <hyperlink ref="AG18" r:id="rId44" display="trial_108_LA_S3"/>
    <hyperlink ref="AI18" r:id="rId45" display="video"/>
    <hyperlink ref="AG19" r:id="rId46" display="trial_109_LA_S4"/>
    <hyperlink ref="AI19" r:id="rId47" display="video"/>
    <hyperlink ref="AG20" r:id="rId48" display="trial_110_LA_S5"/>
    <hyperlink ref="AI20" r:id="rId49" display="video"/>
    <hyperlink ref="AG21" r:id="rId50" display="trial_111_LA_S6"/>
    <hyperlink ref="AI21" r:id="rId51" display="video"/>
    <hyperlink ref="AG22" r:id="rId52" display="trial_112_LA_S7"/>
    <hyperlink ref="AI22" r:id="rId53" display="video"/>
    <hyperlink ref="AG23" r:id="rId54" display="trial_114_LA_S7"/>
    <hyperlink ref="AH23" r:id="rId55" display="viewer"/>
    <hyperlink ref="AI23" r:id="rId56" display="video"/>
    <hyperlink ref="AG24" r:id="rId57" display="trial_113_LA_S7"/>
    <hyperlink ref="AH24" r:id="rId58" display="viewer"/>
    <hyperlink ref="AI24" r:id="rId59" display="video"/>
    <hyperlink ref="AG25" r:id="rId60" display="trial_115_LA_S6"/>
    <hyperlink ref="AH25" r:id="rId61" display="viewer"/>
    <hyperlink ref="AI25" r:id="rId62" display="video"/>
    <hyperlink ref="AG26" r:id="rId63" display="trial_116_LA_S1"/>
    <hyperlink ref="AI26" r:id="rId64" display="video"/>
    <hyperlink ref="AG27" r:id="rId65" display="trial_117_LA_S2"/>
    <hyperlink ref="AI27" r:id="rId66" display="video"/>
    <hyperlink ref="AG28" r:id="rId67" display="trial_118_LA_S1"/>
    <hyperlink ref="AH28" r:id="rId68" display="viewer"/>
    <hyperlink ref="AI28" r:id="rId69" display="video"/>
    <hyperlink ref="AG29" r:id="rId70" display="trial_119_LA_S4"/>
    <hyperlink ref="AH29" r:id="rId71" display="viewer"/>
    <hyperlink ref="AI29" r:id="rId72" display="video"/>
    <hyperlink ref="AG30" r:id="rId73" display="trial_120_LA_S5"/>
    <hyperlink ref="AH30" r:id="rId74" display="viewer"/>
    <hyperlink ref="AI30" r:id="rId75" display="video"/>
    <hyperlink ref="AG31" r:id="rId76" display="trial_121_LA_S6"/>
    <hyperlink ref="AH31" r:id="rId77" display="viewer"/>
    <hyperlink ref="AI31" r:id="rId78" display="video"/>
    <hyperlink ref="AG32" r:id="rId79" display="trial_122_LA_S7"/>
    <hyperlink ref="AH32" r:id="rId80" display="viewer"/>
    <hyperlink ref="AI32" r:id="rId81" display="video"/>
    <hyperlink ref="AG33" r:id="rId82" display="trial_123_LA_S1"/>
    <hyperlink ref="AI33" r:id="rId83" display="video"/>
    <hyperlink ref="AG34" r:id="rId84" display="trial_124_LA_S2"/>
    <hyperlink ref="AI34" r:id="rId85" display="video"/>
    <hyperlink ref="AG35" r:id="rId86" display="trial_126_LA_S4"/>
    <hyperlink ref="AH35" r:id="rId87" display="viewer"/>
    <hyperlink ref="AI35" r:id="rId88" display="video"/>
    <hyperlink ref="AG36" r:id="rId89" display="trial_127_LA_S5"/>
    <hyperlink ref="AH36" r:id="rId90" display="viewer"/>
    <hyperlink ref="AI36" r:id="rId91" display="video"/>
    <hyperlink ref="AG37" r:id="rId92" display="trial_128_LA_S6"/>
    <hyperlink ref="AH37" r:id="rId93" display="viewer"/>
    <hyperlink ref="AI37" r:id="rId94" display="video"/>
    <hyperlink ref="AG38" r:id="rId95" display="trial_129_LA_S7"/>
    <hyperlink ref="AH38" r:id="rId96" display="viewer"/>
    <hyperlink ref="AI38" r:id="rId97" display="video"/>
    <hyperlink ref="AG39" r:id="rId98" display="trial_125_LA_S3"/>
    <hyperlink ref="AH39" r:id="rId99" display="viewer"/>
    <hyperlink ref="AI39" r:id="rId100" display="video"/>
    <hyperlink ref="AG40" r:id="rId101" display="trial_131_LB_S2"/>
    <hyperlink ref="AI40" r:id="rId102" display="video"/>
    <hyperlink ref="AG41" r:id="rId103" display="trial_132_LB_S2"/>
    <hyperlink ref="AI41" r:id="rId104" display="video"/>
    <hyperlink ref="AG42" r:id="rId105" display="trial_133_LB_S3"/>
    <hyperlink ref="AH42" r:id="rId106" display="viewer"/>
    <hyperlink ref="AI42" r:id="rId107" display="video"/>
    <hyperlink ref="AG43" r:id="rId108" display="trial_135_LB_S4"/>
    <hyperlink ref="AH43" r:id="rId109" display="viewer"/>
    <hyperlink ref="AI43" r:id="rId110" display="video"/>
    <hyperlink ref="AG44" r:id="rId111" display="trial_136_LB_S5"/>
    <hyperlink ref="AH44" r:id="rId112" display="viewer"/>
    <hyperlink ref="AI44" r:id="rId113" display="video"/>
    <hyperlink ref="AG45" r:id="rId114" display="trial_137_LB_S6"/>
    <hyperlink ref="AH45" r:id="rId115" display="viewer"/>
    <hyperlink ref="AI45" r:id="rId116" display="video"/>
    <hyperlink ref="AG46" r:id="rId117" display="trial_138_LA_S7"/>
    <hyperlink ref="AH46" r:id="rId118" display="viewer"/>
    <hyperlink ref="AI46" r:id="rId119" display="video"/>
    <hyperlink ref="AG47" r:id="rId120" display="trial_139_LB_S1"/>
    <hyperlink ref="AI47" r:id="rId121" display="video"/>
    <hyperlink ref="AG48" r:id="rId122" display="trial_140_LB_S2"/>
    <hyperlink ref="AI48" r:id="rId123" display="video"/>
    <hyperlink ref="AG49" r:id="rId124" display="trial_143_LA_S3"/>
    <hyperlink ref="AH49" r:id="rId125" display="viewer"/>
    <hyperlink ref="AI49" r:id="rId126" display="video"/>
    <hyperlink ref="AG50" r:id="rId127" display="trial_144_LB_S4"/>
    <hyperlink ref="AH50" r:id="rId128" display="viewer"/>
    <hyperlink ref="AI50" r:id="rId129" display="video"/>
    <hyperlink ref="AG51" r:id="rId130" display="trial_146_LB_S6"/>
    <hyperlink ref="AH51" r:id="rId131" display="viewer"/>
    <hyperlink ref="AI51" r:id="rId132" display="video"/>
    <hyperlink ref="AG52" r:id="rId133" display="trial_147_LB_S7"/>
    <hyperlink ref="AH52" r:id="rId134" display="viewer"/>
    <hyperlink ref="AI52" r:id="rId135" display="video"/>
    <hyperlink ref="AG53" r:id="rId136" display="trial_148_LB_S1"/>
    <hyperlink ref="AI53" r:id="rId137" display="video"/>
    <hyperlink ref="AG54" r:id="rId138" display="trial_149_LB_S2"/>
    <hyperlink ref="AI54" r:id="rId139" display="video"/>
    <hyperlink ref="AG55" r:id="rId140" display="trial_150_LB_S3"/>
    <hyperlink ref="AH55" r:id="rId141" display="viewer"/>
    <hyperlink ref="AI55" r:id="rId142" display="video"/>
    <hyperlink ref="AG56" r:id="rId143" display="trial_154_LB_S6"/>
    <hyperlink ref="AH56" r:id="rId144" display="viewer"/>
    <hyperlink ref="AI56" r:id="rId145" display="video"/>
    <hyperlink ref="AG57" r:id="rId146" display="trial_151_LB_S4"/>
    <hyperlink ref="AH57" r:id="rId147" display="viewer"/>
    <hyperlink ref="AI57" r:id="rId148" display="video"/>
    <hyperlink ref="AG58" r:id="rId149" display="trial_152_LB_S5"/>
    <hyperlink ref="AH58" r:id="rId150" display="viewer"/>
    <hyperlink ref="AI58" r:id="rId151" display="video"/>
    <hyperlink ref="AG59" r:id="rId152" display="trial_155_LB_S7"/>
    <hyperlink ref="AH59" r:id="rId153" display="viewer"/>
    <hyperlink ref="AI59" r:id="rId154" display="video"/>
    <hyperlink ref="AG60" r:id="rId155" display="trial_145_LB_S5"/>
    <hyperlink ref="AH60" r:id="rId156" display="viewer"/>
    <hyperlink ref="AI60" r:id="rId157" display="video"/>
    <hyperlink ref="AG61" r:id="rId158" display="trial_156_LB_S1"/>
    <hyperlink ref="AI61" r:id="rId159" display="video"/>
    <hyperlink ref="AG62" r:id="rId160" display="trial_157_LB_S2"/>
    <hyperlink ref="AI62" r:id="rId161" display="video"/>
    <hyperlink ref="AG63" r:id="rId162" display="trial_158_LB_S3"/>
    <hyperlink ref="AH63" r:id="rId163" display="viewer"/>
    <hyperlink ref="AI63" r:id="rId164" display="video"/>
    <hyperlink ref="AG64" r:id="rId165" display="trial_159_LB_S4"/>
    <hyperlink ref="AH64" r:id="rId166" display="viewer"/>
    <hyperlink ref="AI64" r:id="rId167" display="video"/>
    <hyperlink ref="AG65" r:id="rId168" display="trial_160_LB_S5"/>
    <hyperlink ref="AH65" r:id="rId169" display="viewer"/>
    <hyperlink ref="AI65" r:id="rId170" display="video"/>
    <hyperlink ref="AG66" r:id="rId171" display="trial_161_LB_S6"/>
    <hyperlink ref="AH66" r:id="rId172" display="viewer"/>
    <hyperlink ref="AI66" r:id="rId173" display="video"/>
    <hyperlink ref="AG67" r:id="rId174" display="trial_162_LB_S7"/>
    <hyperlink ref="AH67" r:id="rId175" display="viewer"/>
    <hyperlink ref="AI67" r:id="rId176" display="video"/>
    <hyperlink ref="AG68" r:id="rId177" display="trial_163_LB_S1"/>
    <hyperlink ref="AI68" r:id="rId178" display="video"/>
    <hyperlink ref="AG69" r:id="rId179" display="trial_164_LB_S2"/>
    <hyperlink ref="AH69" r:id="rId180" display="viewer"/>
    <hyperlink ref="AI69" r:id="rId181" display="video"/>
    <hyperlink ref="AG70" r:id="rId182" display="trial_166_LB_S3"/>
    <hyperlink ref="AH70" r:id="rId183" display="viewer"/>
    <hyperlink ref="AI70" r:id="rId184" display="video"/>
    <hyperlink ref="AG71" r:id="rId185" display="trial_167_LB_S4"/>
    <hyperlink ref="AH71" r:id="rId186" display="viewer"/>
    <hyperlink ref="AI71" r:id="rId187" display="video"/>
    <hyperlink ref="AG72" r:id="rId188" display="trial_168_LB_S5"/>
    <hyperlink ref="AH72" r:id="rId189" display="viewer"/>
    <hyperlink ref="AI72" r:id="rId190" display="video"/>
    <hyperlink ref="AG73" r:id="rId191" display="trial_169_LB_S6"/>
    <hyperlink ref="AH73" r:id="rId192" display="viewer"/>
    <hyperlink ref="AI73" r:id="rId193" display="video"/>
    <hyperlink ref="AG74" r:id="rId194" display="trial_170_LB_S6"/>
    <hyperlink ref="AH74" r:id="rId195" display="viewer"/>
    <hyperlink ref="AI74" r:id="rId196" display="video"/>
    <hyperlink ref="AG75" r:id="rId197" display="trial_171_LB_S7"/>
    <hyperlink ref="AH75" r:id="rId198" display="viewer"/>
    <hyperlink ref="AI75" r:id="rId199" display="video"/>
    <hyperlink ref="AG76" r:id="rId200" display="trial_172_LC_S1"/>
    <hyperlink ref="AI76" r:id="rId201" display="video"/>
    <hyperlink ref="AG77" r:id="rId202" display="trial_173_LC_S2"/>
    <hyperlink ref="AI77" r:id="rId203" display="video"/>
    <hyperlink ref="AG78" r:id="rId204" display="trial_174_LC_S3"/>
    <hyperlink ref="AH78" r:id="rId205" display="viewer"/>
    <hyperlink ref="AI78" r:id="rId206" display="video"/>
    <hyperlink ref="AG79" r:id="rId207" display="trial_175_LC_S1"/>
    <hyperlink ref="AI79" r:id="rId208" display="video"/>
    <hyperlink ref="AG80" r:id="rId209" display="trial_176_LC_S2"/>
    <hyperlink ref="AI80" r:id="rId210" display="video"/>
    <hyperlink ref="AG81" r:id="rId211" display="trial_178_LC_S4"/>
    <hyperlink ref="AH81" r:id="rId212" display="viewer"/>
    <hyperlink ref="AI81" r:id="rId213" display="video"/>
    <hyperlink ref="AG82" r:id="rId214" display="trial_180_LA_S4"/>
    <hyperlink ref="AH82" r:id="rId215" display="viewer"/>
    <hyperlink ref="AI82" r:id="rId216" display="video"/>
    <hyperlink ref="AG83" r:id="rId217" display="trial_181_LA_S5"/>
    <hyperlink ref="AH83" r:id="rId218" display="viewer"/>
    <hyperlink ref="AI83" r:id="rId219" display="video"/>
    <hyperlink ref="AG84" r:id="rId220" display="trial_182_LC_S6"/>
    <hyperlink ref="AH84" r:id="rId221" display="viewer"/>
    <hyperlink ref="AI84" r:id="rId222" display="video"/>
    <hyperlink ref="AG85" r:id="rId223" display="trial_183_LC_S7"/>
    <hyperlink ref="AH85" r:id="rId224" display="viewer"/>
    <hyperlink ref="AI85" r:id="rId225" display="video"/>
    <hyperlink ref="AG86" r:id="rId226" display="trial_184_LC_S1"/>
    <hyperlink ref="AI86" r:id="rId227" display="video"/>
    <hyperlink ref="AG87" r:id="rId228" display="trial_177_LC_S3"/>
    <hyperlink ref="AH87" r:id="rId229" display="viewer"/>
    <hyperlink ref="AI87" r:id="rId230" display="video"/>
    <hyperlink ref="AG88" r:id="rId231" display="trial_186_LC_S2"/>
    <hyperlink ref="AI88" r:id="rId232" display="video"/>
    <hyperlink ref="AG89" r:id="rId233" display="trial_187_LA_S3"/>
    <hyperlink ref="AH89" r:id="rId234" display="viewer"/>
    <hyperlink ref="AI89" r:id="rId235" display="vide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6"/>
  <legacyDrawing r:id="rId23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F31" activeCellId="0" sqref="F3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33" min="4" style="1" width="12"/>
    <col collapsed="false" customWidth="true" hidden="false" outlineLevel="0" max="34" min="34" style="1" width="10"/>
    <col collapsed="false" customWidth="true" hidden="false" outlineLevel="0" max="35" min="35" style="1" width="12"/>
  </cols>
  <sheetData>
    <row r="1" customFormat="false" ht="15" hidden="false" customHeight="true" outlineLevel="0" collapsed="false">
      <c r="E1" s="11" t="s">
        <v>418</v>
      </c>
      <c r="F1" s="11" t="s">
        <v>419</v>
      </c>
      <c r="G1" s="12"/>
      <c r="H1" s="12"/>
      <c r="I1" s="12"/>
      <c r="J1" s="11" t="s">
        <v>420</v>
      </c>
      <c r="K1" s="11" t="s">
        <v>421</v>
      </c>
      <c r="L1" s="11" t="s">
        <v>422</v>
      </c>
      <c r="M1" s="12"/>
      <c r="N1" s="12"/>
      <c r="O1" s="12"/>
      <c r="P1" s="11" t="s">
        <v>23</v>
      </c>
      <c r="Q1" s="12"/>
      <c r="R1" s="12"/>
      <c r="S1" s="12"/>
      <c r="T1" s="12"/>
      <c r="U1" s="12"/>
      <c r="V1" s="11" t="s">
        <v>423</v>
      </c>
      <c r="W1" s="12"/>
      <c r="X1" s="12"/>
      <c r="Y1" s="12"/>
      <c r="Z1" s="12"/>
      <c r="AA1" s="11" t="s">
        <v>424</v>
      </c>
      <c r="AB1" s="12"/>
      <c r="AC1" s="12"/>
      <c r="AD1" s="12"/>
      <c r="AE1" s="11" t="s">
        <v>425</v>
      </c>
      <c r="AF1" s="12"/>
    </row>
    <row r="2" customFormat="false" ht="42" hidden="false" customHeight="true" outlineLevel="0" collapsed="false">
      <c r="A2" s="2" t="s">
        <v>0</v>
      </c>
      <c r="B2" s="2" t="s">
        <v>1</v>
      </c>
      <c r="C2" s="2" t="s">
        <v>4</v>
      </c>
      <c r="D2" s="2" t="s">
        <v>20</v>
      </c>
      <c r="E2" s="2" t="s">
        <v>426</v>
      </c>
      <c r="F2" s="2" t="s">
        <v>427</v>
      </c>
      <c r="G2" s="2" t="s">
        <v>428</v>
      </c>
      <c r="H2" s="2" t="s">
        <v>429</v>
      </c>
      <c r="I2" s="2" t="s">
        <v>21</v>
      </c>
      <c r="J2" s="2" t="s">
        <v>430</v>
      </c>
      <c r="K2" s="2" t="s">
        <v>431</v>
      </c>
      <c r="L2" s="2" t="s">
        <v>22</v>
      </c>
      <c r="M2" s="2" t="s">
        <v>432</v>
      </c>
      <c r="N2" s="2" t="s">
        <v>433</v>
      </c>
      <c r="O2" s="2" t="s">
        <v>434</v>
      </c>
      <c r="P2" s="2" t="s">
        <v>23</v>
      </c>
      <c r="Q2" s="2" t="s">
        <v>24</v>
      </c>
      <c r="R2" s="2" t="s">
        <v>435</v>
      </c>
      <c r="S2" s="2" t="s">
        <v>436</v>
      </c>
      <c r="T2" s="2" t="s">
        <v>25</v>
      </c>
      <c r="U2" s="2" t="s">
        <v>437</v>
      </c>
      <c r="V2" s="2" t="s">
        <v>438</v>
      </c>
      <c r="W2" s="2" t="s">
        <v>439</v>
      </c>
      <c r="X2" s="2" t="s">
        <v>440</v>
      </c>
      <c r="Y2" s="2" t="s">
        <v>441</v>
      </c>
      <c r="Z2" s="2" t="s">
        <v>442</v>
      </c>
      <c r="AA2" s="2" t="s">
        <v>26</v>
      </c>
      <c r="AB2" s="2" t="s">
        <v>27</v>
      </c>
      <c r="AC2" s="2" t="s">
        <v>28</v>
      </c>
      <c r="AD2" s="2" t="s">
        <v>443</v>
      </c>
      <c r="AE2" s="2" t="s">
        <v>444</v>
      </c>
      <c r="AF2" s="2" t="s">
        <v>445</v>
      </c>
      <c r="AG2" s="2" t="s">
        <v>446</v>
      </c>
      <c r="AH2" s="2" t="s">
        <v>29</v>
      </c>
      <c r="AI2" s="2" t="s">
        <v>447</v>
      </c>
    </row>
    <row r="3" customFormat="false" ht="15" hidden="false" customHeight="true" outlineLevel="0" collapsed="false">
      <c r="A3" s="13" t="s">
        <v>35</v>
      </c>
      <c r="B3" s="13" t="s">
        <v>36</v>
      </c>
      <c r="C3" s="13" t="s">
        <v>38</v>
      </c>
      <c r="D3" s="13" t="s">
        <v>42</v>
      </c>
      <c r="E3" s="13"/>
      <c r="F3" s="14" t="n">
        <v>1.753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4" t="n">
        <v>0</v>
      </c>
      <c r="AF3" s="14" t="n">
        <v>1</v>
      </c>
      <c r="AG3" s="13"/>
      <c r="AH3" s="13" t="s">
        <v>43</v>
      </c>
      <c r="AI3" s="14" t="n">
        <v>0.234</v>
      </c>
    </row>
    <row r="4" customFormat="false" ht="15" hidden="false" customHeight="true" outlineLevel="0" collapsed="false">
      <c r="A4" s="13" t="s">
        <v>46</v>
      </c>
      <c r="B4" s="13" t="s">
        <v>36</v>
      </c>
      <c r="C4" s="13" t="s">
        <v>47</v>
      </c>
      <c r="D4" s="13" t="s">
        <v>42</v>
      </c>
      <c r="E4" s="13"/>
      <c r="F4" s="14" t="n">
        <v>1.278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4" t="n">
        <v>1</v>
      </c>
      <c r="AF4" s="14" t="n">
        <v>1</v>
      </c>
      <c r="AG4" s="13"/>
      <c r="AH4" s="13" t="s">
        <v>43</v>
      </c>
      <c r="AI4" s="14" t="n">
        <v>0.191</v>
      </c>
    </row>
    <row r="5" customFormat="false" ht="15" hidden="false" customHeight="true" outlineLevel="0" collapsed="false">
      <c r="A5" s="13" t="s">
        <v>53</v>
      </c>
      <c r="B5" s="13" t="s">
        <v>36</v>
      </c>
      <c r="C5" s="13" t="s">
        <v>54</v>
      </c>
      <c r="D5" s="13" t="s">
        <v>42</v>
      </c>
      <c r="E5" s="14" t="n">
        <v>5.21</v>
      </c>
      <c r="F5" s="14" t="n">
        <v>1.301</v>
      </c>
      <c r="G5" s="14" t="n">
        <v>1.312</v>
      </c>
      <c r="H5" s="14" t="n">
        <v>0.011</v>
      </c>
      <c r="I5" s="13" t="s">
        <v>59</v>
      </c>
      <c r="J5" s="14" t="n">
        <v>3.222</v>
      </c>
      <c r="K5" s="14" t="n">
        <v>0.46</v>
      </c>
      <c r="L5" s="13" t="s">
        <v>58</v>
      </c>
      <c r="M5" s="14" t="n">
        <v>2.143</v>
      </c>
      <c r="N5" s="14" t="n">
        <v>0</v>
      </c>
      <c r="O5" s="14" t="n">
        <v>17.257</v>
      </c>
      <c r="P5" s="13" t="s">
        <v>60</v>
      </c>
      <c r="Q5" s="13" t="s">
        <v>58</v>
      </c>
      <c r="R5" s="14" t="n">
        <v>0.751</v>
      </c>
      <c r="S5" s="14" t="n">
        <v>0.209</v>
      </c>
      <c r="T5" s="13" t="s">
        <v>61</v>
      </c>
      <c r="U5" s="14" t="n">
        <v>1</v>
      </c>
      <c r="V5" s="14" t="n">
        <v>2.602</v>
      </c>
      <c r="W5" s="14" t="n">
        <v>1.03</v>
      </c>
      <c r="X5" s="14" t="n">
        <v>6.981</v>
      </c>
      <c r="Y5" s="13"/>
      <c r="Z5" s="14" t="n">
        <v>41.171</v>
      </c>
      <c r="AA5" s="14" t="n">
        <v>32.542</v>
      </c>
      <c r="AB5" s="14" t="n">
        <v>21.106</v>
      </c>
      <c r="AC5" s="14" t="n">
        <v>23.974</v>
      </c>
      <c r="AD5" s="14" t="n">
        <v>45.08</v>
      </c>
      <c r="AE5" s="14" t="n">
        <v>4</v>
      </c>
      <c r="AF5" s="14" t="n">
        <v>4</v>
      </c>
      <c r="AG5" s="13" t="s">
        <v>448</v>
      </c>
      <c r="AH5" s="13" t="s">
        <v>43</v>
      </c>
      <c r="AI5" s="14" t="n">
        <v>0.299</v>
      </c>
    </row>
    <row r="6" customFormat="false" ht="15" hidden="false" customHeight="true" outlineLevel="0" collapsed="false">
      <c r="A6" s="13" t="s">
        <v>66</v>
      </c>
      <c r="B6" s="13" t="s">
        <v>36</v>
      </c>
      <c r="C6" s="13" t="s">
        <v>67</v>
      </c>
      <c r="D6" s="13" t="s">
        <v>42</v>
      </c>
      <c r="E6" s="14" t="n">
        <v>11.901</v>
      </c>
      <c r="F6" s="14" t="n">
        <v>1.229</v>
      </c>
      <c r="G6" s="14" t="n">
        <v>1.235</v>
      </c>
      <c r="H6" s="14" t="n">
        <v>0.006</v>
      </c>
      <c r="I6" s="13" t="s">
        <v>59</v>
      </c>
      <c r="J6" s="14" t="n">
        <v>10.218</v>
      </c>
      <c r="K6" s="14" t="n">
        <v>0.28</v>
      </c>
      <c r="L6" s="13" t="s">
        <v>58</v>
      </c>
      <c r="M6" s="14" t="n">
        <v>2.348</v>
      </c>
      <c r="N6" s="14" t="n">
        <v>0</v>
      </c>
      <c r="O6" s="14" t="n">
        <v>110.713</v>
      </c>
      <c r="P6" s="13" t="s">
        <v>60</v>
      </c>
      <c r="Q6" s="13" t="s">
        <v>58</v>
      </c>
      <c r="R6" s="14" t="n">
        <v>0.594</v>
      </c>
      <c r="S6" s="14" t="n">
        <v>0.153</v>
      </c>
      <c r="T6" s="13" t="s">
        <v>72</v>
      </c>
      <c r="U6" s="14" t="n">
        <v>1</v>
      </c>
      <c r="V6" s="14" t="n">
        <v>2.695</v>
      </c>
      <c r="W6" s="14" t="n">
        <v>0.938</v>
      </c>
      <c r="X6" s="14" t="n">
        <v>7.72</v>
      </c>
      <c r="Y6" s="13"/>
      <c r="Z6" s="14" t="n">
        <v>38.883</v>
      </c>
      <c r="AA6" s="14" t="n">
        <v>37.421</v>
      </c>
      <c r="AB6" s="14" t="n">
        <v>22.598</v>
      </c>
      <c r="AC6" s="14" t="n">
        <v>26.957</v>
      </c>
      <c r="AD6" s="14" t="n">
        <v>49.555</v>
      </c>
      <c r="AE6" s="14" t="n">
        <v>5</v>
      </c>
      <c r="AF6" s="14" t="n">
        <v>5</v>
      </c>
      <c r="AG6" s="13" t="s">
        <v>448</v>
      </c>
      <c r="AH6" s="13" t="s">
        <v>43</v>
      </c>
      <c r="AI6" s="14" t="n">
        <v>0.342</v>
      </c>
    </row>
    <row r="7" customFormat="false" ht="15" hidden="false" customHeight="true" outlineLevel="0" collapsed="false">
      <c r="A7" s="13" t="s">
        <v>75</v>
      </c>
      <c r="B7" s="13" t="s">
        <v>36</v>
      </c>
      <c r="C7" s="13" t="s">
        <v>76</v>
      </c>
      <c r="D7" s="13" t="s">
        <v>42</v>
      </c>
      <c r="E7" s="14" t="n">
        <v>10.304</v>
      </c>
      <c r="F7" s="14" t="n">
        <v>1.291</v>
      </c>
      <c r="G7" s="14" t="n">
        <v>1.297</v>
      </c>
      <c r="H7" s="14" t="n">
        <v>0.006</v>
      </c>
      <c r="I7" s="13" t="s">
        <v>59</v>
      </c>
      <c r="J7" s="14" t="n">
        <v>8.512</v>
      </c>
      <c r="K7" s="14" t="n">
        <v>0.346</v>
      </c>
      <c r="L7" s="13" t="s">
        <v>58</v>
      </c>
      <c r="M7" s="14" t="n">
        <v>2.508</v>
      </c>
      <c r="N7" s="14" t="n">
        <v>0</v>
      </c>
      <c r="O7" s="14" t="n">
        <v>261.074</v>
      </c>
      <c r="P7" s="13" t="s">
        <v>60</v>
      </c>
      <c r="Q7" s="13" t="s">
        <v>58</v>
      </c>
      <c r="R7" s="14" t="n">
        <v>2.609</v>
      </c>
      <c r="S7" s="14" t="n">
        <v>0.136</v>
      </c>
      <c r="T7" s="13" t="s">
        <v>79</v>
      </c>
      <c r="U7" s="14" t="n">
        <v>1</v>
      </c>
      <c r="V7" s="14" t="n">
        <v>2.603</v>
      </c>
      <c r="W7" s="14" t="n">
        <v>1.05</v>
      </c>
      <c r="X7" s="14" t="n">
        <v>7.371</v>
      </c>
      <c r="Y7" s="13"/>
      <c r="Z7" s="14" t="n">
        <v>40.426</v>
      </c>
      <c r="AA7" s="14" t="n">
        <v>37.947</v>
      </c>
      <c r="AB7" s="14" t="n">
        <v>19.917</v>
      </c>
      <c r="AC7" s="14" t="n">
        <v>29.522</v>
      </c>
      <c r="AD7" s="14" t="n">
        <v>49.439</v>
      </c>
      <c r="AE7" s="14" t="n">
        <v>5</v>
      </c>
      <c r="AF7" s="14" t="n">
        <v>4</v>
      </c>
      <c r="AG7" s="13" t="s">
        <v>448</v>
      </c>
      <c r="AH7" s="13" t="s">
        <v>43</v>
      </c>
      <c r="AI7" s="14" t="n">
        <v>0.709</v>
      </c>
    </row>
    <row r="8" customFormat="false" ht="15" hidden="false" customHeight="true" outlineLevel="0" collapsed="false">
      <c r="A8" s="13" t="s">
        <v>82</v>
      </c>
      <c r="B8" s="13" t="s">
        <v>36</v>
      </c>
      <c r="C8" s="13" t="s">
        <v>83</v>
      </c>
      <c r="D8" s="13" t="s">
        <v>87</v>
      </c>
      <c r="E8" s="14" t="n">
        <v>0.511</v>
      </c>
      <c r="F8" s="13"/>
      <c r="G8" s="13"/>
      <c r="H8" s="13"/>
      <c r="I8" s="13"/>
      <c r="J8" s="13"/>
      <c r="K8" s="14" t="n">
        <v>0.343</v>
      </c>
      <c r="L8" s="13" t="s">
        <v>58</v>
      </c>
      <c r="M8" s="14" t="n">
        <v>1.574</v>
      </c>
      <c r="N8" s="14" t="n">
        <v>0</v>
      </c>
      <c r="O8" s="14" t="n">
        <v>67.783</v>
      </c>
      <c r="P8" s="13" t="s">
        <v>60</v>
      </c>
      <c r="Q8" s="13" t="s">
        <v>58</v>
      </c>
      <c r="R8" s="14" t="n">
        <v>0.886</v>
      </c>
      <c r="S8" s="14" t="n">
        <v>0.157</v>
      </c>
      <c r="T8" s="13" t="s">
        <v>88</v>
      </c>
      <c r="U8" s="14" t="n">
        <v>1</v>
      </c>
      <c r="V8" s="14" t="n">
        <v>2.592</v>
      </c>
      <c r="W8" s="14" t="n">
        <v>1.033</v>
      </c>
      <c r="X8" s="14" t="n">
        <v>17.209</v>
      </c>
      <c r="Y8" s="13"/>
      <c r="Z8" s="14" t="n">
        <v>46.561</v>
      </c>
      <c r="AA8" s="14" t="n">
        <v>39.692</v>
      </c>
      <c r="AB8" s="14" t="n">
        <v>28.371</v>
      </c>
      <c r="AC8" s="14" t="n">
        <v>18.701</v>
      </c>
      <c r="AD8" s="14" t="n">
        <v>47.072</v>
      </c>
      <c r="AE8" s="14" t="n">
        <v>3</v>
      </c>
      <c r="AF8" s="14" t="n">
        <v>2</v>
      </c>
      <c r="AG8" s="13" t="s">
        <v>448</v>
      </c>
      <c r="AH8" s="13" t="s">
        <v>43</v>
      </c>
      <c r="AI8" s="14" t="n">
        <v>0.287</v>
      </c>
    </row>
    <row r="9" customFormat="false" ht="15" hidden="false" customHeight="true" outlineLevel="0" collapsed="false">
      <c r="A9" s="13" t="s">
        <v>90</v>
      </c>
      <c r="B9" s="13" t="s">
        <v>36</v>
      </c>
      <c r="C9" s="13" t="s">
        <v>38</v>
      </c>
      <c r="D9" s="13" t="s">
        <v>42</v>
      </c>
      <c r="E9" s="13"/>
      <c r="F9" s="14" t="n">
        <v>1.262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4" t="n">
        <v>0</v>
      </c>
      <c r="AF9" s="14" t="n">
        <v>1</v>
      </c>
      <c r="AG9" s="13"/>
      <c r="AH9" s="13" t="s">
        <v>43</v>
      </c>
      <c r="AI9" s="14" t="n">
        <v>3.106</v>
      </c>
    </row>
    <row r="10" customFormat="false" ht="15" hidden="false" customHeight="true" outlineLevel="0" collapsed="false">
      <c r="A10" s="13" t="s">
        <v>93</v>
      </c>
      <c r="B10" s="13" t="s">
        <v>36</v>
      </c>
      <c r="C10" s="13" t="s">
        <v>47</v>
      </c>
      <c r="D10" s="13" t="s">
        <v>42</v>
      </c>
      <c r="E10" s="13"/>
      <c r="F10" s="14" t="n">
        <v>1.144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4" t="n">
        <v>0</v>
      </c>
      <c r="AF10" s="14" t="n">
        <v>1</v>
      </c>
      <c r="AG10" s="13"/>
      <c r="AH10" s="13" t="s">
        <v>43</v>
      </c>
      <c r="AI10" s="14" t="n">
        <v>0.919</v>
      </c>
    </row>
    <row r="11" customFormat="false" ht="15" hidden="false" customHeight="true" outlineLevel="0" collapsed="false">
      <c r="A11" s="13" t="s">
        <v>449</v>
      </c>
      <c r="B11" s="13" t="s">
        <v>36</v>
      </c>
      <c r="C11" s="13" t="s">
        <v>54</v>
      </c>
      <c r="D11" s="13" t="s">
        <v>42</v>
      </c>
      <c r="E11" s="14" t="n">
        <v>9.442</v>
      </c>
      <c r="F11" s="14" t="n">
        <v>1.631</v>
      </c>
      <c r="G11" s="14" t="n">
        <v>2.867</v>
      </c>
      <c r="H11" s="14" t="n">
        <v>1.236</v>
      </c>
      <c r="I11" s="13" t="s">
        <v>100</v>
      </c>
      <c r="J11" s="14" t="n">
        <v>4.346</v>
      </c>
      <c r="K11" s="14" t="n">
        <v>0.47</v>
      </c>
      <c r="L11" s="13" t="s">
        <v>58</v>
      </c>
      <c r="M11" s="14" t="n">
        <v>1.796</v>
      </c>
      <c r="N11" s="14" t="n">
        <v>0</v>
      </c>
      <c r="O11" s="14" t="n">
        <v>1811.875</v>
      </c>
      <c r="P11" s="13" t="s">
        <v>60</v>
      </c>
      <c r="Q11" s="13" t="s">
        <v>106</v>
      </c>
      <c r="R11" s="14" t="n">
        <v>1.565</v>
      </c>
      <c r="S11" s="14" t="n">
        <v>1.752</v>
      </c>
      <c r="T11" s="13" t="s">
        <v>227</v>
      </c>
      <c r="U11" s="14" t="n">
        <v>1</v>
      </c>
      <c r="V11" s="14" t="n">
        <v>2.62</v>
      </c>
      <c r="W11" s="14" t="n">
        <v>1.01</v>
      </c>
      <c r="X11" s="14" t="n">
        <v>12.801</v>
      </c>
      <c r="Y11" s="13"/>
      <c r="Z11" s="14" t="n">
        <v>37.677</v>
      </c>
      <c r="AA11" s="14" t="n">
        <v>43.736</v>
      </c>
      <c r="AB11" s="14" t="n">
        <v>21.857</v>
      </c>
      <c r="AC11" s="14" t="n">
        <v>23.631</v>
      </c>
      <c r="AD11" s="14" t="n">
        <v>45.488</v>
      </c>
      <c r="AE11" s="14" t="n">
        <v>3</v>
      </c>
      <c r="AF11" s="14" t="n">
        <v>4</v>
      </c>
      <c r="AG11" s="13" t="s">
        <v>448</v>
      </c>
      <c r="AH11" s="13" t="s">
        <v>43</v>
      </c>
      <c r="AI11" s="14" t="n">
        <v>3.191</v>
      </c>
    </row>
    <row r="12" customFormat="false" ht="15" hidden="false" customHeight="true" outlineLevel="0" collapsed="false">
      <c r="A12" s="13" t="s">
        <v>97</v>
      </c>
      <c r="B12" s="13" t="s">
        <v>36</v>
      </c>
      <c r="C12" s="13" t="s">
        <v>54</v>
      </c>
      <c r="D12" s="13" t="s">
        <v>42</v>
      </c>
      <c r="E12" s="14" t="n">
        <v>4.194</v>
      </c>
      <c r="F12" s="14" t="n">
        <v>1.629</v>
      </c>
      <c r="G12" s="14" t="n">
        <v>2.586</v>
      </c>
      <c r="H12" s="14" t="n">
        <v>0.957</v>
      </c>
      <c r="I12" s="13" t="s">
        <v>100</v>
      </c>
      <c r="J12" s="14" t="n">
        <v>1.349</v>
      </c>
      <c r="K12" s="14" t="n">
        <v>0.141</v>
      </c>
      <c r="L12" s="13" t="s">
        <v>58</v>
      </c>
      <c r="M12" s="14" t="n">
        <v>1.336</v>
      </c>
      <c r="N12" s="14" t="n">
        <v>0</v>
      </c>
      <c r="O12" s="14" t="n">
        <v>34.711</v>
      </c>
      <c r="P12" s="13" t="s">
        <v>60</v>
      </c>
      <c r="Q12" s="13" t="s">
        <v>58</v>
      </c>
      <c r="R12" s="14" t="n">
        <v>3.04</v>
      </c>
      <c r="S12" s="14" t="n">
        <v>0.106</v>
      </c>
      <c r="T12" s="13" t="s">
        <v>101</v>
      </c>
      <c r="U12" s="14" t="n">
        <v>1</v>
      </c>
      <c r="V12" s="14" t="n">
        <v>2.643</v>
      </c>
      <c r="W12" s="14" t="n">
        <v>0.974</v>
      </c>
      <c r="X12" s="14" t="n">
        <v>8.196</v>
      </c>
      <c r="Y12" s="13"/>
      <c r="Z12" s="14" t="n">
        <v>36.647</v>
      </c>
      <c r="AA12" s="14" t="n">
        <v>29.932</v>
      </c>
      <c r="AB12" s="14" t="n">
        <v>20.712</v>
      </c>
      <c r="AC12" s="14" t="n">
        <v>18.5</v>
      </c>
      <c r="AD12" s="14" t="n">
        <v>39.212</v>
      </c>
      <c r="AE12" s="14" t="n">
        <v>4</v>
      </c>
      <c r="AF12" s="14" t="n">
        <v>4</v>
      </c>
      <c r="AG12" s="13" t="s">
        <v>448</v>
      </c>
      <c r="AH12" s="13" t="s">
        <v>43</v>
      </c>
      <c r="AI12" s="14" t="n">
        <v>0.281</v>
      </c>
    </row>
    <row r="13" customFormat="false" ht="15" hidden="false" customHeight="true" outlineLevel="0" collapsed="false">
      <c r="A13" s="13" t="s">
        <v>104</v>
      </c>
      <c r="B13" s="13" t="s">
        <v>36</v>
      </c>
      <c r="C13" s="13" t="s">
        <v>76</v>
      </c>
      <c r="D13" s="13" t="s">
        <v>42</v>
      </c>
      <c r="E13" s="14" t="n">
        <v>12.254</v>
      </c>
      <c r="F13" s="14" t="n">
        <v>2.379</v>
      </c>
      <c r="G13" s="14" t="n">
        <v>3.504</v>
      </c>
      <c r="H13" s="14" t="n">
        <v>1.125</v>
      </c>
      <c r="I13" s="13" t="s">
        <v>100</v>
      </c>
      <c r="J13" s="14" t="n">
        <v>7.584</v>
      </c>
      <c r="K13" s="14" t="n">
        <v>0.186</v>
      </c>
      <c r="L13" s="13" t="s">
        <v>58</v>
      </c>
      <c r="M13" s="14" t="n">
        <v>0.965</v>
      </c>
      <c r="N13" s="14" t="n">
        <v>0</v>
      </c>
      <c r="O13" s="14" t="n">
        <v>702.242</v>
      </c>
      <c r="P13" s="13" t="s">
        <v>60</v>
      </c>
      <c r="Q13" s="13" t="s">
        <v>106</v>
      </c>
      <c r="R13" s="14" t="n">
        <v>0.772</v>
      </c>
      <c r="S13" s="14" t="n">
        <v>0.971</v>
      </c>
      <c r="T13" s="13" t="s">
        <v>107</v>
      </c>
      <c r="U13" s="14" t="n">
        <v>1</v>
      </c>
      <c r="V13" s="14" t="n">
        <v>2.597</v>
      </c>
      <c r="W13" s="14" t="n">
        <v>1.026</v>
      </c>
      <c r="X13" s="14" t="n">
        <v>7.951</v>
      </c>
      <c r="Y13" s="13"/>
      <c r="Z13" s="14" t="n">
        <v>34.518</v>
      </c>
      <c r="AA13" s="14" t="n">
        <v>39.29</v>
      </c>
      <c r="AB13" s="14" t="n">
        <v>16.688</v>
      </c>
      <c r="AC13" s="14" t="n">
        <v>27.705</v>
      </c>
      <c r="AD13" s="14" t="n">
        <v>44.393</v>
      </c>
      <c r="AE13" s="14" t="n">
        <v>4</v>
      </c>
      <c r="AF13" s="14" t="n">
        <v>3</v>
      </c>
      <c r="AG13" s="13" t="s">
        <v>448</v>
      </c>
      <c r="AH13" s="13" t="s">
        <v>43</v>
      </c>
      <c r="AI13" s="14" t="n">
        <v>0.246</v>
      </c>
    </row>
    <row r="14" customFormat="false" ht="15" hidden="false" customHeight="true" outlineLevel="0" collapsed="false">
      <c r="A14" s="13" t="s">
        <v>109</v>
      </c>
      <c r="B14" s="13" t="s">
        <v>36</v>
      </c>
      <c r="C14" s="13" t="s">
        <v>67</v>
      </c>
      <c r="D14" s="13" t="s">
        <v>42</v>
      </c>
      <c r="E14" s="14" t="n">
        <v>12.069</v>
      </c>
      <c r="F14" s="14" t="n">
        <v>1.237</v>
      </c>
      <c r="G14" s="14" t="n">
        <v>1.24</v>
      </c>
      <c r="H14" s="14" t="n">
        <v>0.003</v>
      </c>
      <c r="I14" s="13" t="s">
        <v>59</v>
      </c>
      <c r="J14" s="14" t="n">
        <v>10.393</v>
      </c>
      <c r="K14" s="14" t="n">
        <v>0.255</v>
      </c>
      <c r="L14" s="13" t="s">
        <v>58</v>
      </c>
      <c r="M14" s="14" t="n">
        <v>1.528</v>
      </c>
      <c r="N14" s="14" t="n">
        <v>0</v>
      </c>
      <c r="O14" s="14" t="n">
        <v>32.252</v>
      </c>
      <c r="P14" s="13" t="s">
        <v>60</v>
      </c>
      <c r="Q14" s="13" t="s">
        <v>58</v>
      </c>
      <c r="R14" s="14" t="n">
        <v>0.878</v>
      </c>
      <c r="S14" s="14" t="n">
        <v>0.162</v>
      </c>
      <c r="T14" s="13" t="s">
        <v>111</v>
      </c>
      <c r="U14" s="14" t="n">
        <v>1</v>
      </c>
      <c r="V14" s="14" t="n">
        <v>2.594</v>
      </c>
      <c r="W14" s="14" t="n">
        <v>1.033</v>
      </c>
      <c r="X14" s="14" t="n">
        <v>6.6</v>
      </c>
      <c r="Y14" s="13"/>
      <c r="Z14" s="14" t="n">
        <v>29.784</v>
      </c>
      <c r="AA14" s="14" t="n">
        <v>38.474</v>
      </c>
      <c r="AB14" s="14" t="n">
        <v>14.79</v>
      </c>
      <c r="AC14" s="14" t="n">
        <v>25.826</v>
      </c>
      <c r="AD14" s="14" t="n">
        <v>40.616</v>
      </c>
      <c r="AE14" s="14" t="n">
        <v>4</v>
      </c>
      <c r="AF14" s="14" t="n">
        <v>4</v>
      </c>
      <c r="AG14" s="13" t="s">
        <v>448</v>
      </c>
      <c r="AH14" s="13" t="s">
        <v>43</v>
      </c>
      <c r="AI14" s="14" t="n">
        <v>0.298</v>
      </c>
    </row>
    <row r="15" customFormat="false" ht="15" hidden="false" customHeight="true" outlineLevel="0" collapsed="false">
      <c r="A15" s="13" t="s">
        <v>114</v>
      </c>
      <c r="B15" s="13" t="s">
        <v>36</v>
      </c>
      <c r="C15" s="13" t="s">
        <v>54</v>
      </c>
      <c r="D15" s="13" t="s">
        <v>42</v>
      </c>
      <c r="E15" s="14" t="n">
        <v>2.966</v>
      </c>
      <c r="F15" s="14" t="n">
        <v>1.35</v>
      </c>
      <c r="G15" s="14" t="n">
        <v>1.357</v>
      </c>
      <c r="H15" s="14" t="n">
        <v>0.007</v>
      </c>
      <c r="I15" s="13" t="s">
        <v>59</v>
      </c>
      <c r="J15" s="14" t="n">
        <v>1.2</v>
      </c>
      <c r="K15" s="14" t="n">
        <v>0.216</v>
      </c>
      <c r="L15" s="13" t="s">
        <v>58</v>
      </c>
      <c r="M15" s="14" t="n">
        <v>1.764</v>
      </c>
      <c r="N15" s="14" t="n">
        <v>0</v>
      </c>
      <c r="O15" s="14" t="n">
        <v>92.917</v>
      </c>
      <c r="P15" s="13" t="s">
        <v>60</v>
      </c>
      <c r="Q15" s="13" t="s">
        <v>58</v>
      </c>
      <c r="R15" s="14" t="n">
        <v>1.958</v>
      </c>
      <c r="S15" s="14" t="n">
        <v>0.176</v>
      </c>
      <c r="T15" s="13" t="s">
        <v>116</v>
      </c>
      <c r="U15" s="14" t="n">
        <v>1</v>
      </c>
      <c r="V15" s="14" t="n">
        <v>2.595</v>
      </c>
      <c r="W15" s="14" t="n">
        <v>1.031</v>
      </c>
      <c r="X15" s="14" t="n">
        <v>5.999</v>
      </c>
      <c r="Y15" s="13"/>
      <c r="Z15" s="14" t="n">
        <v>40.669</v>
      </c>
      <c r="AA15" s="14" t="n">
        <v>25.188</v>
      </c>
      <c r="AB15" s="14" t="n">
        <v>21.286</v>
      </c>
      <c r="AC15" s="14" t="n">
        <v>20.999</v>
      </c>
      <c r="AD15" s="14" t="n">
        <v>42.285</v>
      </c>
      <c r="AE15" s="14" t="n">
        <v>4</v>
      </c>
      <c r="AF15" s="14" t="n">
        <v>5</v>
      </c>
      <c r="AG15" s="13" t="s">
        <v>448</v>
      </c>
      <c r="AH15" s="13" t="s">
        <v>43</v>
      </c>
      <c r="AI15" s="14" t="n">
        <v>0.292</v>
      </c>
    </row>
    <row r="16" customFormat="false" ht="15" hidden="false" customHeight="true" outlineLevel="0" collapsed="false">
      <c r="A16" s="13" t="s">
        <v>118</v>
      </c>
      <c r="B16" s="13" t="s">
        <v>36</v>
      </c>
      <c r="C16" s="13" t="s">
        <v>54</v>
      </c>
      <c r="D16" s="13" t="s">
        <v>42</v>
      </c>
      <c r="E16" s="14" t="n">
        <v>6.371</v>
      </c>
      <c r="F16" s="14" t="n">
        <v>3.626</v>
      </c>
      <c r="G16" s="14" t="n">
        <v>4.718</v>
      </c>
      <c r="H16" s="14" t="n">
        <v>1.092</v>
      </c>
      <c r="I16" s="13" t="s">
        <v>100</v>
      </c>
      <c r="J16" s="14" t="n">
        <v>1.241</v>
      </c>
      <c r="K16" s="14" t="n">
        <v>0.263</v>
      </c>
      <c r="L16" s="13" t="s">
        <v>58</v>
      </c>
      <c r="M16" s="14" t="n">
        <v>3.618</v>
      </c>
      <c r="N16" s="14" t="n">
        <v>0</v>
      </c>
      <c r="O16" s="14" t="n">
        <v>47.336</v>
      </c>
      <c r="P16" s="13" t="s">
        <v>60</v>
      </c>
      <c r="Q16" s="13" t="s">
        <v>58</v>
      </c>
      <c r="R16" s="14" t="n">
        <v>5.956</v>
      </c>
      <c r="S16" s="14" t="n">
        <v>0.145</v>
      </c>
      <c r="T16" s="13" t="s">
        <v>120</v>
      </c>
      <c r="U16" s="14" t="n">
        <v>1</v>
      </c>
      <c r="V16" s="14" t="n">
        <v>2.598</v>
      </c>
      <c r="W16" s="14" t="n">
        <v>1.022</v>
      </c>
      <c r="X16" s="14" t="n">
        <v>8.836</v>
      </c>
      <c r="Y16" s="13"/>
      <c r="Z16" s="14" t="n">
        <v>30.779</v>
      </c>
      <c r="AA16" s="14" t="n">
        <v>33.765</v>
      </c>
      <c r="AB16" s="14" t="n">
        <v>15.565</v>
      </c>
      <c r="AC16" s="14" t="n">
        <v>17.959</v>
      </c>
      <c r="AD16" s="14" t="n">
        <v>33.524</v>
      </c>
      <c r="AE16" s="14" t="n">
        <v>3</v>
      </c>
      <c r="AF16" s="14" t="n">
        <v>3</v>
      </c>
      <c r="AG16" s="13" t="s">
        <v>448</v>
      </c>
      <c r="AH16" s="13" t="s">
        <v>43</v>
      </c>
      <c r="AI16" s="14" t="n">
        <v>3.122</v>
      </c>
    </row>
    <row r="17" customFormat="false" ht="15" hidden="false" customHeight="true" outlineLevel="0" collapsed="false">
      <c r="A17" s="13" t="s">
        <v>122</v>
      </c>
      <c r="B17" s="13" t="s">
        <v>36</v>
      </c>
      <c r="C17" s="13" t="s">
        <v>67</v>
      </c>
      <c r="D17" s="13" t="s">
        <v>42</v>
      </c>
      <c r="E17" s="14" t="n">
        <v>21.338</v>
      </c>
      <c r="F17" s="14" t="n">
        <v>3.289</v>
      </c>
      <c r="G17" s="14" t="n">
        <v>3.321</v>
      </c>
      <c r="H17" s="14" t="n">
        <v>0.032</v>
      </c>
      <c r="I17" s="13" t="s">
        <v>59</v>
      </c>
      <c r="J17" s="14" t="n">
        <v>17.573</v>
      </c>
      <c r="K17" s="14" t="n">
        <v>0.247</v>
      </c>
      <c r="L17" s="13" t="s">
        <v>58</v>
      </c>
      <c r="M17" s="14" t="n">
        <v>2.562</v>
      </c>
      <c r="N17" s="14" t="n">
        <v>0</v>
      </c>
      <c r="O17" s="14" t="n">
        <v>53.718</v>
      </c>
      <c r="P17" s="13" t="s">
        <v>60</v>
      </c>
      <c r="Q17" s="13" t="s">
        <v>58</v>
      </c>
      <c r="R17" s="14" t="n">
        <v>0.859</v>
      </c>
      <c r="S17" s="14" t="n">
        <v>0.183</v>
      </c>
      <c r="T17" s="13" t="s">
        <v>125</v>
      </c>
      <c r="U17" s="14" t="n">
        <v>1</v>
      </c>
      <c r="V17" s="14" t="n">
        <v>2.588</v>
      </c>
      <c r="W17" s="14" t="n">
        <v>1.036</v>
      </c>
      <c r="X17" s="14" t="n">
        <v>7.665</v>
      </c>
      <c r="Y17" s="13"/>
      <c r="Z17" s="14" t="n">
        <v>63.178</v>
      </c>
      <c r="AA17" s="14" t="n">
        <v>62.726</v>
      </c>
      <c r="AB17" s="14" t="n">
        <v>34.836</v>
      </c>
      <c r="AC17" s="14" t="n">
        <v>46.391</v>
      </c>
      <c r="AD17" s="14" t="n">
        <v>81.227</v>
      </c>
      <c r="AE17" s="14" t="n">
        <v>10</v>
      </c>
      <c r="AF17" s="14" t="n">
        <v>10</v>
      </c>
      <c r="AG17" s="13" t="s">
        <v>448</v>
      </c>
      <c r="AH17" s="13" t="s">
        <v>43</v>
      </c>
      <c r="AI17" s="14" t="n">
        <v>0.359</v>
      </c>
    </row>
    <row r="18" customFormat="false" ht="15" hidden="false" customHeight="true" outlineLevel="0" collapsed="false">
      <c r="A18" s="13" t="s">
        <v>127</v>
      </c>
      <c r="B18" s="13" t="s">
        <v>36</v>
      </c>
      <c r="C18" s="13" t="s">
        <v>38</v>
      </c>
      <c r="D18" s="13" t="s">
        <v>42</v>
      </c>
      <c r="E18" s="13"/>
      <c r="F18" s="14" t="n">
        <v>1.41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4" t="n">
        <v>0</v>
      </c>
      <c r="AF18" s="14" t="n">
        <v>1</v>
      </c>
      <c r="AG18" s="13"/>
      <c r="AH18" s="13" t="s">
        <v>43</v>
      </c>
      <c r="AI18" s="14" t="n">
        <v>0.846</v>
      </c>
    </row>
    <row r="19" customFormat="false" ht="15" hidden="false" customHeight="true" outlineLevel="0" collapsed="false">
      <c r="A19" s="13" t="s">
        <v>130</v>
      </c>
      <c r="B19" s="13" t="s">
        <v>36</v>
      </c>
      <c r="C19" s="13" t="s">
        <v>47</v>
      </c>
      <c r="D19" s="13" t="s">
        <v>42</v>
      </c>
      <c r="E19" s="13"/>
      <c r="F19" s="14" t="n">
        <v>1.132</v>
      </c>
      <c r="G19" s="14" t="n">
        <v>1.138</v>
      </c>
      <c r="H19" s="14" t="n">
        <v>0.006</v>
      </c>
      <c r="I19" s="13" t="s">
        <v>59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4" t="n">
        <v>0</v>
      </c>
      <c r="AF19" s="14" t="n">
        <v>1</v>
      </c>
      <c r="AG19" s="13"/>
      <c r="AH19" s="13" t="s">
        <v>43</v>
      </c>
      <c r="AI19" s="14" t="n">
        <v>0.212</v>
      </c>
    </row>
    <row r="20" customFormat="false" ht="15" hidden="false" customHeight="true" outlineLevel="0" collapsed="false">
      <c r="A20" s="13" t="s">
        <v>134</v>
      </c>
      <c r="B20" s="13" t="s">
        <v>36</v>
      </c>
      <c r="C20" s="13" t="s">
        <v>54</v>
      </c>
      <c r="D20" s="13" t="s">
        <v>42</v>
      </c>
      <c r="E20" s="14" t="n">
        <v>3.759</v>
      </c>
      <c r="F20" s="14" t="n">
        <v>1.15</v>
      </c>
      <c r="G20" s="14" t="n">
        <v>2.47</v>
      </c>
      <c r="H20" s="14" t="n">
        <v>1.32</v>
      </c>
      <c r="I20" s="13" t="s">
        <v>100</v>
      </c>
      <c r="J20" s="14" t="n">
        <v>0.881</v>
      </c>
      <c r="K20" s="14" t="n">
        <v>0.259</v>
      </c>
      <c r="L20" s="13" t="s">
        <v>58</v>
      </c>
      <c r="M20" s="14" t="n">
        <v>2.135</v>
      </c>
      <c r="N20" s="14" t="n">
        <v>0</v>
      </c>
      <c r="O20" s="14" t="n">
        <v>896.557</v>
      </c>
      <c r="P20" s="13" t="s">
        <v>60</v>
      </c>
      <c r="Q20" s="13" t="s">
        <v>58</v>
      </c>
      <c r="R20" s="14" t="n">
        <v>5.297</v>
      </c>
      <c r="S20" s="14" t="n">
        <v>0.129</v>
      </c>
      <c r="T20" s="13" t="s">
        <v>136</v>
      </c>
      <c r="U20" s="14" t="n">
        <v>1</v>
      </c>
      <c r="V20" s="14" t="n">
        <v>2.597</v>
      </c>
      <c r="W20" s="14" t="n">
        <v>1.031</v>
      </c>
      <c r="X20" s="14" t="n">
        <v>9.88</v>
      </c>
      <c r="Y20" s="13"/>
      <c r="Z20" s="14" t="n">
        <v>25.471</v>
      </c>
      <c r="AA20" s="14" t="n">
        <v>25.893</v>
      </c>
      <c r="AB20" s="14" t="n">
        <v>9.713</v>
      </c>
      <c r="AC20" s="14" t="n">
        <v>18.367</v>
      </c>
      <c r="AD20" s="14" t="n">
        <v>28.08</v>
      </c>
      <c r="AE20" s="14" t="n">
        <v>2</v>
      </c>
      <c r="AF20" s="14" t="n">
        <v>2</v>
      </c>
      <c r="AG20" s="13" t="s">
        <v>448</v>
      </c>
      <c r="AH20" s="13" t="s">
        <v>43</v>
      </c>
      <c r="AI20" s="14" t="n">
        <v>0.275</v>
      </c>
    </row>
    <row r="21" customFormat="false" ht="15" hidden="false" customHeight="true" outlineLevel="0" collapsed="false">
      <c r="A21" s="13" t="s">
        <v>138</v>
      </c>
      <c r="B21" s="13" t="s">
        <v>36</v>
      </c>
      <c r="C21" s="13" t="s">
        <v>67</v>
      </c>
      <c r="D21" s="13" t="s">
        <v>42</v>
      </c>
      <c r="E21" s="14" t="n">
        <v>12.288</v>
      </c>
      <c r="F21" s="14" t="n">
        <v>1.146</v>
      </c>
      <c r="G21" s="14" t="n">
        <v>1.365</v>
      </c>
      <c r="H21" s="14" t="n">
        <v>0.219</v>
      </c>
      <c r="I21" s="13" t="s">
        <v>100</v>
      </c>
      <c r="J21" s="14" t="n">
        <v>10.396</v>
      </c>
      <c r="K21" s="14" t="n">
        <v>0.349</v>
      </c>
      <c r="L21" s="13" t="s">
        <v>58</v>
      </c>
      <c r="M21" s="14" t="n">
        <v>2.776</v>
      </c>
      <c r="N21" s="14" t="n">
        <v>0</v>
      </c>
      <c r="O21" s="14" t="n">
        <v>971.692</v>
      </c>
      <c r="P21" s="13" t="s">
        <v>60</v>
      </c>
      <c r="Q21" s="13" t="s">
        <v>58</v>
      </c>
      <c r="R21" s="14" t="n">
        <v>1.189</v>
      </c>
      <c r="S21" s="14" t="n">
        <v>0.171</v>
      </c>
      <c r="T21" s="13" t="s">
        <v>139</v>
      </c>
      <c r="U21" s="14" t="n">
        <v>1</v>
      </c>
      <c r="V21" s="14" t="n">
        <v>2.59</v>
      </c>
      <c r="W21" s="14" t="n">
        <v>1.037</v>
      </c>
      <c r="X21" s="14" t="n">
        <v>6.256</v>
      </c>
      <c r="Y21" s="13"/>
      <c r="Z21" s="14" t="n">
        <v>30.545</v>
      </c>
      <c r="AA21" s="14" t="n">
        <v>39.452</v>
      </c>
      <c r="AB21" s="14" t="n">
        <v>14.872</v>
      </c>
      <c r="AC21" s="14" t="n">
        <v>26.815</v>
      </c>
      <c r="AD21" s="14" t="n">
        <v>41.687</v>
      </c>
      <c r="AE21" s="14" t="n">
        <v>4</v>
      </c>
      <c r="AF21" s="14" t="n">
        <v>4</v>
      </c>
      <c r="AG21" s="13" t="s">
        <v>448</v>
      </c>
      <c r="AH21" s="13" t="s">
        <v>43</v>
      </c>
      <c r="AI21" s="14" t="n">
        <v>3.273</v>
      </c>
    </row>
    <row r="22" customFormat="false" ht="15" hidden="false" customHeight="true" outlineLevel="0" collapsed="false">
      <c r="A22" s="13" t="s">
        <v>141</v>
      </c>
      <c r="B22" s="13" t="s">
        <v>36</v>
      </c>
      <c r="C22" s="13" t="s">
        <v>76</v>
      </c>
      <c r="D22" s="13" t="s">
        <v>42</v>
      </c>
      <c r="E22" s="14" t="n">
        <v>26.027</v>
      </c>
      <c r="F22" s="14" t="n">
        <v>1.163</v>
      </c>
      <c r="G22" s="14" t="n">
        <v>1.171</v>
      </c>
      <c r="H22" s="14" t="n">
        <v>0.008</v>
      </c>
      <c r="I22" s="13" t="s">
        <v>59</v>
      </c>
      <c r="J22" s="14" t="n">
        <v>24.441</v>
      </c>
      <c r="K22" s="14" t="n">
        <v>0.262</v>
      </c>
      <c r="L22" s="13" t="s">
        <v>58</v>
      </c>
      <c r="M22" s="14" t="n">
        <v>2.292</v>
      </c>
      <c r="N22" s="14" t="n">
        <v>0</v>
      </c>
      <c r="O22" s="14" t="n">
        <v>42.597</v>
      </c>
      <c r="P22" s="13" t="s">
        <v>60</v>
      </c>
      <c r="Q22" s="13" t="s">
        <v>58</v>
      </c>
      <c r="R22" s="14" t="n">
        <v>1.058</v>
      </c>
      <c r="S22" s="14" t="n">
        <v>0.132</v>
      </c>
      <c r="T22" s="13" t="s">
        <v>143</v>
      </c>
      <c r="U22" s="14" t="n">
        <v>1</v>
      </c>
      <c r="V22" s="14" t="n">
        <v>2.59</v>
      </c>
      <c r="W22" s="14" t="n">
        <v>1.041</v>
      </c>
      <c r="X22" s="14" t="n">
        <v>8.621</v>
      </c>
      <c r="Y22" s="13"/>
      <c r="Z22" s="14" t="n">
        <v>38.001</v>
      </c>
      <c r="AA22" s="14" t="n">
        <v>56.328</v>
      </c>
      <c r="AB22" s="14" t="n">
        <v>32.296</v>
      </c>
      <c r="AC22" s="14" t="n">
        <v>30.569</v>
      </c>
      <c r="AD22" s="14" t="n">
        <v>62.865</v>
      </c>
      <c r="AE22" s="14" t="n">
        <v>5</v>
      </c>
      <c r="AF22" s="14" t="n">
        <v>6</v>
      </c>
      <c r="AG22" s="13" t="s">
        <v>448</v>
      </c>
      <c r="AH22" s="13" t="s">
        <v>43</v>
      </c>
      <c r="AI22" s="14" t="n">
        <v>3.152</v>
      </c>
    </row>
    <row r="23" customFormat="false" ht="15" hidden="false" customHeight="true" outlineLevel="0" collapsed="false">
      <c r="A23" s="13" t="s">
        <v>145</v>
      </c>
      <c r="B23" s="13" t="s">
        <v>36</v>
      </c>
      <c r="C23" s="13" t="s">
        <v>83</v>
      </c>
      <c r="D23" s="13" t="s">
        <v>42</v>
      </c>
      <c r="E23" s="14" t="n">
        <v>1.465</v>
      </c>
      <c r="F23" s="14" t="n">
        <v>0.914</v>
      </c>
      <c r="G23" s="14" t="n">
        <v>0.956</v>
      </c>
      <c r="H23" s="14" t="n">
        <v>0.042</v>
      </c>
      <c r="I23" s="13" t="s">
        <v>59</v>
      </c>
      <c r="J23" s="14" t="n">
        <v>0.134</v>
      </c>
      <c r="K23" s="14" t="n">
        <v>0.221</v>
      </c>
      <c r="L23" s="13" t="s">
        <v>58</v>
      </c>
      <c r="M23" s="14" t="n">
        <v>2.283</v>
      </c>
      <c r="N23" s="14" t="n">
        <v>0</v>
      </c>
      <c r="O23" s="14" t="n">
        <v>141.099</v>
      </c>
      <c r="P23" s="13" t="s">
        <v>60</v>
      </c>
      <c r="Q23" s="13" t="s">
        <v>58</v>
      </c>
      <c r="R23" s="14" t="n">
        <v>0.933</v>
      </c>
      <c r="S23" s="14" t="n">
        <v>0.149</v>
      </c>
      <c r="T23" s="13" t="s">
        <v>147</v>
      </c>
      <c r="U23" s="14" t="n">
        <v>1</v>
      </c>
      <c r="V23" s="14" t="n">
        <v>2.59</v>
      </c>
      <c r="W23" s="14" t="n">
        <v>1.027</v>
      </c>
      <c r="X23" s="14" t="n">
        <v>9.227</v>
      </c>
      <c r="Y23" s="13"/>
      <c r="Z23" s="14" t="n">
        <v>27.636</v>
      </c>
      <c r="AA23" s="14" t="n">
        <v>21.35</v>
      </c>
      <c r="AB23" s="14" t="n">
        <v>20.118</v>
      </c>
      <c r="AC23" s="14" t="n">
        <v>8.069</v>
      </c>
      <c r="AD23" s="14" t="n">
        <v>28.187</v>
      </c>
      <c r="AE23" s="14" t="n">
        <v>3</v>
      </c>
      <c r="AF23" s="14" t="n">
        <v>2</v>
      </c>
      <c r="AG23" s="13" t="s">
        <v>448</v>
      </c>
      <c r="AH23" s="13" t="s">
        <v>43</v>
      </c>
      <c r="AI23" s="14" t="n">
        <v>0.298</v>
      </c>
    </row>
    <row r="24" customFormat="false" ht="15" hidden="false" customHeight="true" outlineLevel="0" collapsed="false">
      <c r="A24" s="13" t="s">
        <v>149</v>
      </c>
      <c r="B24" s="13" t="s">
        <v>36</v>
      </c>
      <c r="C24" s="13" t="s">
        <v>150</v>
      </c>
      <c r="D24" s="13" t="s">
        <v>42</v>
      </c>
      <c r="E24" s="14" t="n">
        <v>3.814</v>
      </c>
      <c r="F24" s="14" t="n">
        <v>1.645</v>
      </c>
      <c r="G24" s="14" t="n">
        <v>3.079</v>
      </c>
      <c r="H24" s="14" t="n">
        <v>1.434</v>
      </c>
      <c r="I24" s="13" t="s">
        <v>100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4" t="n">
        <v>0</v>
      </c>
      <c r="AF24" s="14" t="n">
        <v>1</v>
      </c>
      <c r="AG24" s="13"/>
      <c r="AH24" s="13" t="s">
        <v>43</v>
      </c>
      <c r="AI24" s="14" t="n">
        <v>0.19</v>
      </c>
    </row>
    <row r="25" customFormat="false" ht="15" hidden="false" customHeight="true" outlineLevel="0" collapsed="false">
      <c r="A25" s="13" t="s">
        <v>154</v>
      </c>
      <c r="B25" s="13" t="s">
        <v>155</v>
      </c>
      <c r="C25" s="13" t="s">
        <v>150</v>
      </c>
      <c r="D25" s="13" t="s">
        <v>42</v>
      </c>
      <c r="E25" s="14" t="n">
        <v>9.284</v>
      </c>
      <c r="F25" s="14" t="n">
        <v>1.473</v>
      </c>
      <c r="G25" s="14" t="n">
        <v>4.213</v>
      </c>
      <c r="H25" s="14" t="n">
        <v>2.74</v>
      </c>
      <c r="I25" s="13" t="s">
        <v>100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4" t="n">
        <v>0</v>
      </c>
      <c r="AF25" s="14" t="n">
        <v>3</v>
      </c>
      <c r="AG25" s="13"/>
      <c r="AH25" s="13" t="s">
        <v>43</v>
      </c>
      <c r="AI25" s="14" t="n">
        <v>0.238</v>
      </c>
    </row>
    <row r="26" customFormat="false" ht="15" hidden="false" customHeight="true" outlineLevel="0" collapsed="false">
      <c r="A26" s="13" t="s">
        <v>159</v>
      </c>
      <c r="B26" s="13" t="s">
        <v>155</v>
      </c>
      <c r="C26" s="13" t="s">
        <v>150</v>
      </c>
      <c r="D26" s="13" t="s">
        <v>42</v>
      </c>
      <c r="E26" s="14" t="n">
        <v>5.12</v>
      </c>
      <c r="F26" s="14" t="n">
        <v>1.627</v>
      </c>
      <c r="G26" s="14" t="n">
        <v>3.466</v>
      </c>
      <c r="H26" s="14" t="n">
        <v>1.839</v>
      </c>
      <c r="I26" s="13" t="s">
        <v>100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4" t="n">
        <v>0</v>
      </c>
      <c r="AF26" s="14" t="n">
        <v>1</v>
      </c>
      <c r="AG26" s="13"/>
      <c r="AH26" s="13" t="s">
        <v>43</v>
      </c>
      <c r="AI26" s="14" t="n">
        <v>0.283</v>
      </c>
    </row>
    <row r="27" customFormat="false" ht="15" hidden="false" customHeight="true" outlineLevel="0" collapsed="false">
      <c r="A27" s="13" t="s">
        <v>163</v>
      </c>
      <c r="B27" s="13" t="s">
        <v>155</v>
      </c>
      <c r="C27" s="13" t="s">
        <v>83</v>
      </c>
      <c r="D27" s="13" t="s">
        <v>42</v>
      </c>
      <c r="E27" s="14" t="n">
        <v>6.231</v>
      </c>
      <c r="F27" s="14" t="n">
        <v>1.44</v>
      </c>
      <c r="G27" s="14" t="n">
        <v>2.99</v>
      </c>
      <c r="H27" s="14" t="n">
        <v>1.55</v>
      </c>
      <c r="I27" s="13" t="s">
        <v>100</v>
      </c>
      <c r="J27" s="14" t="n">
        <v>0.606</v>
      </c>
      <c r="K27" s="14" t="n">
        <v>0.738</v>
      </c>
      <c r="L27" s="13" t="s">
        <v>58</v>
      </c>
      <c r="M27" s="14" t="n">
        <v>4.528</v>
      </c>
      <c r="N27" s="14" t="n">
        <v>0</v>
      </c>
      <c r="O27" s="14" t="n">
        <v>0.251</v>
      </c>
      <c r="P27" s="13" t="s">
        <v>60</v>
      </c>
      <c r="Q27" s="13" t="s">
        <v>106</v>
      </c>
      <c r="R27" s="14" t="n">
        <v>1.608</v>
      </c>
      <c r="S27" s="14" t="n">
        <v>1.881</v>
      </c>
      <c r="T27" s="13" t="s">
        <v>165</v>
      </c>
      <c r="U27" s="14" t="n">
        <v>1</v>
      </c>
      <c r="V27" s="14" t="n">
        <v>2.605</v>
      </c>
      <c r="W27" s="14" t="n">
        <v>1.022</v>
      </c>
      <c r="X27" s="14" t="n">
        <v>18.365</v>
      </c>
      <c r="Y27" s="13"/>
      <c r="Z27" s="14" t="n">
        <v>38.417</v>
      </c>
      <c r="AA27" s="14" t="n">
        <v>36.388</v>
      </c>
      <c r="AB27" s="14" t="n">
        <v>26.749</v>
      </c>
      <c r="AC27" s="14" t="n">
        <v>16.459</v>
      </c>
      <c r="AD27" s="14" t="n">
        <v>43.208</v>
      </c>
      <c r="AE27" s="14" t="n">
        <v>3</v>
      </c>
      <c r="AF27" s="14" t="n">
        <v>3</v>
      </c>
      <c r="AG27" s="13" t="s">
        <v>448</v>
      </c>
      <c r="AH27" s="13" t="s">
        <v>43</v>
      </c>
      <c r="AI27" s="14" t="n">
        <v>0.258</v>
      </c>
    </row>
    <row r="28" customFormat="false" ht="15" hidden="false" customHeight="true" outlineLevel="0" collapsed="false">
      <c r="A28" s="13" t="s">
        <v>167</v>
      </c>
      <c r="B28" s="13" t="s">
        <v>155</v>
      </c>
      <c r="C28" s="13" t="s">
        <v>38</v>
      </c>
      <c r="D28" s="13" t="s">
        <v>42</v>
      </c>
      <c r="E28" s="13"/>
      <c r="F28" s="14" t="n">
        <v>1.307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4" t="n">
        <v>0</v>
      </c>
      <c r="AF28" s="14" t="n">
        <v>1</v>
      </c>
      <c r="AG28" s="13"/>
      <c r="AH28" s="13" t="s">
        <v>43</v>
      </c>
      <c r="AI28" s="14" t="n">
        <v>0.389</v>
      </c>
    </row>
    <row r="29" customFormat="false" ht="15" hidden="false" customHeight="true" outlineLevel="0" collapsed="false">
      <c r="A29" s="13" t="s">
        <v>170</v>
      </c>
      <c r="B29" s="13" t="s">
        <v>155</v>
      </c>
      <c r="C29" s="13" t="s">
        <v>47</v>
      </c>
      <c r="D29" s="13" t="s">
        <v>42</v>
      </c>
      <c r="E29" s="13"/>
      <c r="F29" s="14" t="n">
        <v>0.992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4" t="n">
        <v>1</v>
      </c>
      <c r="AF29" s="14" t="n">
        <v>3</v>
      </c>
      <c r="AG29" s="13"/>
      <c r="AH29" s="13" t="s">
        <v>43</v>
      </c>
      <c r="AI29" s="14" t="n">
        <v>0.981</v>
      </c>
    </row>
    <row r="30" customFormat="false" ht="15" hidden="false" customHeight="true" outlineLevel="0" collapsed="false">
      <c r="A30" s="13" t="s">
        <v>174</v>
      </c>
      <c r="B30" s="13" t="s">
        <v>155</v>
      </c>
      <c r="C30" s="13" t="s">
        <v>38</v>
      </c>
      <c r="D30" s="13" t="s">
        <v>42</v>
      </c>
      <c r="E30" s="14" t="n">
        <v>4.319</v>
      </c>
      <c r="F30" s="14" t="n">
        <v>1.266</v>
      </c>
      <c r="G30" s="14" t="n">
        <v>2.573</v>
      </c>
      <c r="H30" s="14" t="n">
        <v>1.307</v>
      </c>
      <c r="I30" s="13" t="s">
        <v>100</v>
      </c>
      <c r="J30" s="14" t="n">
        <v>1.426</v>
      </c>
      <c r="K30" s="14" t="n">
        <v>0.148</v>
      </c>
      <c r="L30" s="13" t="s">
        <v>58</v>
      </c>
      <c r="M30" s="14" t="n">
        <v>1.255</v>
      </c>
      <c r="N30" s="14" t="n">
        <v>0</v>
      </c>
      <c r="O30" s="14" t="n">
        <v>77.818</v>
      </c>
      <c r="P30" s="13" t="s">
        <v>60</v>
      </c>
      <c r="Q30" s="13" t="s">
        <v>58</v>
      </c>
      <c r="R30" s="14" t="n">
        <v>3.483</v>
      </c>
      <c r="S30" s="14" t="n">
        <v>0.158</v>
      </c>
      <c r="T30" s="13" t="s">
        <v>176</v>
      </c>
      <c r="U30" s="14" t="n">
        <v>1</v>
      </c>
      <c r="V30" s="14" t="n">
        <v>2.603</v>
      </c>
      <c r="W30" s="14" t="n">
        <v>1.021</v>
      </c>
      <c r="X30" s="13"/>
      <c r="Y30" s="13"/>
      <c r="Z30" s="14" t="n">
        <v>28.633</v>
      </c>
      <c r="AA30" s="14" t="n">
        <v>25.51</v>
      </c>
      <c r="AB30" s="14" t="n">
        <v>10.643</v>
      </c>
      <c r="AC30" s="14" t="n">
        <v>21.043</v>
      </c>
      <c r="AD30" s="14" t="n">
        <v>31.686</v>
      </c>
      <c r="AE30" s="14" t="n">
        <v>2</v>
      </c>
      <c r="AF30" s="14" t="n">
        <v>2</v>
      </c>
      <c r="AG30" s="13" t="s">
        <v>448</v>
      </c>
      <c r="AH30" s="13" t="s">
        <v>43</v>
      </c>
      <c r="AI30" s="14" t="n">
        <v>0.193</v>
      </c>
    </row>
    <row r="31" customFormat="false" ht="15" hidden="false" customHeight="true" outlineLevel="0" collapsed="false">
      <c r="A31" s="13" t="s">
        <v>179</v>
      </c>
      <c r="B31" s="13" t="s">
        <v>155</v>
      </c>
      <c r="C31" s="13" t="s">
        <v>67</v>
      </c>
      <c r="D31" s="13" t="s">
        <v>42</v>
      </c>
      <c r="E31" s="14" t="n">
        <v>20.473</v>
      </c>
      <c r="F31" s="14" t="n">
        <v>1.198</v>
      </c>
      <c r="G31" s="14" t="n">
        <v>2.428</v>
      </c>
      <c r="H31" s="14" t="n">
        <v>1.274</v>
      </c>
      <c r="I31" s="13" t="s">
        <v>100</v>
      </c>
      <c r="J31" s="14" t="n">
        <v>0.781</v>
      </c>
      <c r="K31" s="14" t="n">
        <v>2.721</v>
      </c>
      <c r="L31" s="13" t="s">
        <v>106</v>
      </c>
      <c r="M31" s="14" t="n">
        <v>0.193</v>
      </c>
      <c r="N31" s="14" t="n">
        <v>0.193</v>
      </c>
      <c r="O31" s="13"/>
      <c r="P31" s="13" t="s">
        <v>60</v>
      </c>
      <c r="Q31" s="13" t="s">
        <v>106</v>
      </c>
      <c r="R31" s="14" t="n">
        <v>0.821</v>
      </c>
      <c r="S31" s="14" t="n">
        <v>0.951</v>
      </c>
      <c r="T31" s="13" t="s">
        <v>181</v>
      </c>
      <c r="U31" s="14" t="n">
        <v>1</v>
      </c>
      <c r="V31" s="14" t="n">
        <v>2.593</v>
      </c>
      <c r="W31" s="14" t="n">
        <v>1.029</v>
      </c>
      <c r="X31" s="14" t="n">
        <v>8.113</v>
      </c>
      <c r="Y31" s="13"/>
      <c r="Z31" s="14" t="n">
        <v>39.189</v>
      </c>
      <c r="AA31" s="14" t="n">
        <v>47.074</v>
      </c>
      <c r="AB31" s="14" t="n">
        <v>19.485</v>
      </c>
      <c r="AC31" s="14" t="n">
        <v>38.979</v>
      </c>
      <c r="AD31" s="14" t="n">
        <v>58.464</v>
      </c>
      <c r="AE31" s="14" t="n">
        <v>5</v>
      </c>
      <c r="AF31" s="14" t="n">
        <v>5</v>
      </c>
      <c r="AG31" s="13" t="s">
        <v>450</v>
      </c>
      <c r="AH31" s="13" t="s">
        <v>43</v>
      </c>
      <c r="AI31" s="14" t="n">
        <v>0.246</v>
      </c>
    </row>
    <row r="32" customFormat="false" ht="15" hidden="false" customHeight="true" outlineLevel="0" collapsed="false">
      <c r="A32" s="13" t="s">
        <v>183</v>
      </c>
      <c r="B32" s="13" t="s">
        <v>155</v>
      </c>
      <c r="C32" s="13" t="s">
        <v>76</v>
      </c>
      <c r="D32" s="13" t="s">
        <v>42</v>
      </c>
      <c r="E32" s="14" t="n">
        <v>26.045</v>
      </c>
      <c r="F32" s="14" t="n">
        <v>1.465</v>
      </c>
      <c r="G32" s="14" t="n">
        <v>1.473</v>
      </c>
      <c r="H32" s="14" t="n">
        <v>0.008</v>
      </c>
      <c r="I32" s="13" t="s">
        <v>59</v>
      </c>
      <c r="J32" s="14" t="n">
        <v>23.991</v>
      </c>
      <c r="K32" s="14" t="n">
        <v>0.425</v>
      </c>
      <c r="L32" s="13" t="s">
        <v>58</v>
      </c>
      <c r="M32" s="14" t="n">
        <v>3.814</v>
      </c>
      <c r="N32" s="14" t="n">
        <v>0</v>
      </c>
      <c r="O32" s="14" t="n">
        <v>55.574</v>
      </c>
      <c r="P32" s="13" t="s">
        <v>60</v>
      </c>
      <c r="Q32" s="13" t="s">
        <v>58</v>
      </c>
      <c r="R32" s="14" t="n">
        <v>0.937</v>
      </c>
      <c r="S32" s="14" t="n">
        <v>0.15</v>
      </c>
      <c r="T32" s="13" t="s">
        <v>186</v>
      </c>
      <c r="U32" s="14" t="n">
        <v>1</v>
      </c>
      <c r="V32" s="14" t="n">
        <v>2.593</v>
      </c>
      <c r="W32" s="14" t="n">
        <v>1.037</v>
      </c>
      <c r="X32" s="14" t="n">
        <v>7.663</v>
      </c>
      <c r="Y32" s="13"/>
      <c r="Z32" s="14" t="n">
        <v>34.527</v>
      </c>
      <c r="AA32" s="14" t="n">
        <v>52.928</v>
      </c>
      <c r="AB32" s="14" t="n">
        <v>22.082</v>
      </c>
      <c r="AC32" s="14" t="n">
        <v>37.025</v>
      </c>
      <c r="AD32" s="14" t="n">
        <v>59.107</v>
      </c>
      <c r="AE32" s="14" t="n">
        <v>5</v>
      </c>
      <c r="AF32" s="14" t="n">
        <v>4</v>
      </c>
      <c r="AG32" s="13" t="s">
        <v>448</v>
      </c>
      <c r="AH32" s="13" t="s">
        <v>43</v>
      </c>
      <c r="AI32" s="14" t="n">
        <v>0.254</v>
      </c>
    </row>
    <row r="33" customFormat="false" ht="15" hidden="false" customHeight="true" outlineLevel="0" collapsed="false">
      <c r="A33" s="13" t="s">
        <v>188</v>
      </c>
      <c r="B33" s="13" t="s">
        <v>155</v>
      </c>
      <c r="C33" s="13" t="s">
        <v>83</v>
      </c>
      <c r="D33" s="13" t="s">
        <v>42</v>
      </c>
      <c r="E33" s="14" t="n">
        <v>20.478</v>
      </c>
      <c r="F33" s="14" t="n">
        <v>1.22</v>
      </c>
      <c r="G33" s="14" t="n">
        <v>2.275</v>
      </c>
      <c r="H33" s="14" t="n">
        <v>1.055</v>
      </c>
      <c r="I33" s="13" t="s">
        <v>100</v>
      </c>
      <c r="J33" s="14" t="n">
        <v>17.812</v>
      </c>
      <c r="K33" s="14" t="n">
        <v>0.223</v>
      </c>
      <c r="L33" s="13" t="s">
        <v>58</v>
      </c>
      <c r="M33" s="14" t="n">
        <v>1.493</v>
      </c>
      <c r="N33" s="14" t="n">
        <v>0</v>
      </c>
      <c r="O33" s="14" t="n">
        <v>49.175</v>
      </c>
      <c r="P33" s="13" t="s">
        <v>60</v>
      </c>
      <c r="Q33" s="13" t="s">
        <v>58</v>
      </c>
      <c r="R33" s="14" t="n">
        <v>0.719</v>
      </c>
      <c r="S33" s="14" t="n">
        <v>0.153</v>
      </c>
      <c r="T33" s="13" t="s">
        <v>192</v>
      </c>
      <c r="U33" s="14" t="n">
        <v>1</v>
      </c>
      <c r="V33" s="14" t="n">
        <v>2.602</v>
      </c>
      <c r="W33" s="14" t="n">
        <v>1.024</v>
      </c>
      <c r="X33" s="14" t="n">
        <v>7.658</v>
      </c>
      <c r="Y33" s="13"/>
      <c r="Z33" s="14" t="n">
        <v>49.963</v>
      </c>
      <c r="AA33" s="14" t="n">
        <v>58.532</v>
      </c>
      <c r="AB33" s="14" t="n">
        <v>53.559</v>
      </c>
      <c r="AC33" s="14" t="n">
        <v>15.662</v>
      </c>
      <c r="AD33" s="14" t="n">
        <v>69.221</v>
      </c>
      <c r="AE33" s="14" t="n">
        <v>6</v>
      </c>
      <c r="AF33" s="14" t="n">
        <v>7</v>
      </c>
      <c r="AG33" s="13" t="s">
        <v>448</v>
      </c>
      <c r="AH33" s="13" t="s">
        <v>43</v>
      </c>
      <c r="AI33" s="14" t="n">
        <v>0.268</v>
      </c>
    </row>
    <row r="34" customFormat="false" ht="15" hidden="false" customHeight="true" outlineLevel="0" collapsed="false">
      <c r="A34" s="13" t="s">
        <v>194</v>
      </c>
      <c r="B34" s="13" t="s">
        <v>155</v>
      </c>
      <c r="C34" s="13" t="s">
        <v>150</v>
      </c>
      <c r="D34" s="13" t="s">
        <v>42</v>
      </c>
      <c r="E34" s="14" t="n">
        <v>3.012</v>
      </c>
      <c r="F34" s="14" t="n">
        <v>1.333</v>
      </c>
      <c r="G34" s="14" t="n">
        <v>2.58</v>
      </c>
      <c r="H34" s="14" t="n">
        <v>1.247</v>
      </c>
      <c r="I34" s="13" t="s">
        <v>100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4" t="n">
        <v>0</v>
      </c>
      <c r="AF34" s="14" t="n">
        <v>3</v>
      </c>
      <c r="AG34" s="13"/>
      <c r="AH34" s="13" t="s">
        <v>43</v>
      </c>
      <c r="AI34" s="14" t="n">
        <v>0.236</v>
      </c>
    </row>
    <row r="35" customFormat="false" ht="15" hidden="false" customHeight="true" outlineLevel="0" collapsed="false">
      <c r="A35" s="13" t="s">
        <v>199</v>
      </c>
      <c r="B35" s="13" t="s">
        <v>155</v>
      </c>
      <c r="C35" s="13" t="s">
        <v>38</v>
      </c>
      <c r="D35" s="13" t="s">
        <v>42</v>
      </c>
      <c r="E35" s="13"/>
      <c r="F35" s="14" t="n">
        <v>2.289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4" t="n">
        <v>0</v>
      </c>
      <c r="AF35" s="14" t="n">
        <v>1</v>
      </c>
      <c r="AG35" s="13"/>
      <c r="AH35" s="13" t="s">
        <v>43</v>
      </c>
      <c r="AI35" s="14" t="n">
        <v>0.211</v>
      </c>
    </row>
    <row r="36" customFormat="false" ht="15" hidden="false" customHeight="true" outlineLevel="0" collapsed="false">
      <c r="A36" s="13" t="s">
        <v>202</v>
      </c>
      <c r="B36" s="13" t="s">
        <v>155</v>
      </c>
      <c r="C36" s="13" t="s">
        <v>47</v>
      </c>
      <c r="D36" s="13" t="s">
        <v>42</v>
      </c>
      <c r="E36" s="13"/>
      <c r="F36" s="14" t="n">
        <v>1.263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4" t="n">
        <v>0</v>
      </c>
      <c r="AF36" s="14" t="n">
        <v>2</v>
      </c>
      <c r="AG36" s="13"/>
      <c r="AH36" s="13" t="s">
        <v>43</v>
      </c>
      <c r="AI36" s="14" t="n">
        <v>1.169</v>
      </c>
    </row>
    <row r="37" customFormat="false" ht="15" hidden="false" customHeight="true" outlineLevel="0" collapsed="false">
      <c r="A37" s="13" t="s">
        <v>206</v>
      </c>
      <c r="B37" s="13" t="s">
        <v>155</v>
      </c>
      <c r="C37" s="13" t="s">
        <v>67</v>
      </c>
      <c r="D37" s="13" t="s">
        <v>42</v>
      </c>
      <c r="E37" s="14" t="n">
        <v>26.927</v>
      </c>
      <c r="F37" s="14" t="n">
        <v>1.192</v>
      </c>
      <c r="G37" s="14" t="n">
        <v>1.197</v>
      </c>
      <c r="H37" s="14" t="n">
        <v>0.005</v>
      </c>
      <c r="I37" s="13" t="s">
        <v>59</v>
      </c>
      <c r="J37" s="14" t="n">
        <v>22.376</v>
      </c>
      <c r="K37" s="14" t="n">
        <v>2.124</v>
      </c>
      <c r="L37" s="13" t="s">
        <v>106</v>
      </c>
      <c r="M37" s="14" t="n">
        <v>0.206</v>
      </c>
      <c r="N37" s="14" t="n">
        <v>0.206</v>
      </c>
      <c r="O37" s="13"/>
      <c r="P37" s="13" t="s">
        <v>60</v>
      </c>
      <c r="Q37" s="13" t="s">
        <v>106</v>
      </c>
      <c r="R37" s="14" t="n">
        <v>1.018</v>
      </c>
      <c r="S37" s="14" t="n">
        <v>1.222</v>
      </c>
      <c r="T37" s="13" t="s">
        <v>61</v>
      </c>
      <c r="U37" s="14" t="n">
        <v>1</v>
      </c>
      <c r="V37" s="14" t="n">
        <v>2.588</v>
      </c>
      <c r="W37" s="14" t="n">
        <v>1.044</v>
      </c>
      <c r="X37" s="14" t="n">
        <v>8.31</v>
      </c>
      <c r="Y37" s="13"/>
      <c r="Z37" s="14" t="n">
        <v>61.207</v>
      </c>
      <c r="AA37" s="14" t="n">
        <v>80.675</v>
      </c>
      <c r="AB37" s="14" t="n">
        <v>37.635</v>
      </c>
      <c r="AC37" s="14" t="n">
        <v>49.307</v>
      </c>
      <c r="AD37" s="14" t="n">
        <v>86.942</v>
      </c>
      <c r="AE37" s="14" t="n">
        <v>7</v>
      </c>
      <c r="AF37" s="14" t="n">
        <v>8</v>
      </c>
      <c r="AG37" s="13" t="s">
        <v>450</v>
      </c>
      <c r="AH37" s="13" t="s">
        <v>43</v>
      </c>
      <c r="AI37" s="14" t="n">
        <v>0.428</v>
      </c>
    </row>
    <row r="38" customFormat="false" ht="15" hidden="false" customHeight="true" outlineLevel="0" collapsed="false">
      <c r="A38" s="13" t="s">
        <v>211</v>
      </c>
      <c r="B38" s="13" t="s">
        <v>155</v>
      </c>
      <c r="C38" s="13" t="s">
        <v>76</v>
      </c>
      <c r="D38" s="13" t="s">
        <v>42</v>
      </c>
      <c r="E38" s="14" t="n">
        <v>10.564</v>
      </c>
      <c r="F38" s="14" t="n">
        <v>1.255</v>
      </c>
      <c r="G38" s="14" t="n">
        <v>1.26</v>
      </c>
      <c r="H38" s="14" t="n">
        <v>0.005</v>
      </c>
      <c r="I38" s="13" t="s">
        <v>59</v>
      </c>
      <c r="J38" s="14" t="n">
        <v>8.896</v>
      </c>
      <c r="K38" s="14" t="n">
        <v>0.24</v>
      </c>
      <c r="L38" s="13" t="s">
        <v>58</v>
      </c>
      <c r="M38" s="14" t="n">
        <v>7.144</v>
      </c>
      <c r="N38" s="14" t="n">
        <v>0</v>
      </c>
      <c r="O38" s="14" t="n">
        <v>74.795</v>
      </c>
      <c r="P38" s="13" t="s">
        <v>60</v>
      </c>
      <c r="Q38" s="13" t="s">
        <v>58</v>
      </c>
      <c r="R38" s="14" t="n">
        <v>1.097</v>
      </c>
      <c r="S38" s="14" t="n">
        <v>0.166</v>
      </c>
      <c r="T38" s="13" t="s">
        <v>111</v>
      </c>
      <c r="U38" s="14" t="n">
        <v>1</v>
      </c>
      <c r="V38" s="14" t="n">
        <v>2.595</v>
      </c>
      <c r="W38" s="14" t="n">
        <v>1.024</v>
      </c>
      <c r="X38" s="14" t="n">
        <v>11.581</v>
      </c>
      <c r="Y38" s="13"/>
      <c r="Z38" s="14" t="n">
        <v>35.332</v>
      </c>
      <c r="AA38" s="14" t="n">
        <v>42.515</v>
      </c>
      <c r="AB38" s="14" t="n">
        <v>20.571</v>
      </c>
      <c r="AC38" s="14" t="n">
        <v>24.07</v>
      </c>
      <c r="AD38" s="14" t="n">
        <v>44.641</v>
      </c>
      <c r="AE38" s="14" t="n">
        <v>6</v>
      </c>
      <c r="AF38" s="14" t="n">
        <v>5</v>
      </c>
      <c r="AG38" s="13" t="s">
        <v>448</v>
      </c>
      <c r="AH38" s="13" t="s">
        <v>43</v>
      </c>
      <c r="AI38" s="14" t="n">
        <v>0.292</v>
      </c>
    </row>
    <row r="39" customFormat="false" ht="15" hidden="false" customHeight="true" outlineLevel="0" collapsed="false">
      <c r="A39" s="13" t="s">
        <v>214</v>
      </c>
      <c r="B39" s="13" t="s">
        <v>155</v>
      </c>
      <c r="C39" s="13" t="s">
        <v>83</v>
      </c>
      <c r="D39" s="13" t="s">
        <v>42</v>
      </c>
      <c r="E39" s="14" t="n">
        <v>18.053</v>
      </c>
      <c r="F39" s="14" t="n">
        <v>1.521</v>
      </c>
      <c r="G39" s="14" t="n">
        <v>0.961</v>
      </c>
      <c r="H39" s="14" t="n">
        <v>0.004</v>
      </c>
      <c r="I39" s="13" t="s">
        <v>59</v>
      </c>
      <c r="J39" s="14" t="n">
        <v>0.054</v>
      </c>
      <c r="K39" s="14" t="n">
        <v>0.173</v>
      </c>
      <c r="L39" s="13" t="s">
        <v>58</v>
      </c>
      <c r="M39" s="14" t="n">
        <v>1.957</v>
      </c>
      <c r="N39" s="14" t="n">
        <v>0</v>
      </c>
      <c r="O39" s="14" t="n">
        <v>267.608</v>
      </c>
      <c r="P39" s="13" t="s">
        <v>60</v>
      </c>
      <c r="Q39" s="13" t="s">
        <v>58</v>
      </c>
      <c r="R39" s="14" t="n">
        <v>0.783</v>
      </c>
      <c r="S39" s="14" t="n">
        <v>0.115</v>
      </c>
      <c r="T39" s="13" t="s">
        <v>218</v>
      </c>
      <c r="U39" s="14" t="n">
        <v>1</v>
      </c>
      <c r="V39" s="14" t="n">
        <v>2.587</v>
      </c>
      <c r="W39" s="14" t="n">
        <v>1.034</v>
      </c>
      <c r="X39" s="14" t="n">
        <v>7.651</v>
      </c>
      <c r="Y39" s="13"/>
      <c r="Z39" s="14" t="n">
        <v>37.022</v>
      </c>
      <c r="AA39" s="14" t="n">
        <v>47.578</v>
      </c>
      <c r="AB39" s="14" t="n">
        <v>40.775</v>
      </c>
      <c r="AC39" s="14" t="n">
        <v>12.779</v>
      </c>
      <c r="AD39" s="14" t="n">
        <v>53.554</v>
      </c>
      <c r="AE39" s="14" t="n">
        <v>7</v>
      </c>
      <c r="AF39" s="14" t="n">
        <v>6</v>
      </c>
      <c r="AG39" s="13" t="s">
        <v>448</v>
      </c>
      <c r="AH39" s="13" t="s">
        <v>43</v>
      </c>
      <c r="AI39" s="14" t="n">
        <v>0.273</v>
      </c>
    </row>
    <row r="40" customFormat="false" ht="15" hidden="false" customHeight="true" outlineLevel="0" collapsed="false">
      <c r="A40" s="13" t="s">
        <v>220</v>
      </c>
      <c r="B40" s="13" t="s">
        <v>155</v>
      </c>
      <c r="C40" s="13" t="s">
        <v>150</v>
      </c>
      <c r="D40" s="13" t="s">
        <v>42</v>
      </c>
      <c r="E40" s="14" t="n">
        <v>2.44</v>
      </c>
      <c r="F40" s="14" t="n">
        <v>1.288</v>
      </c>
      <c r="G40" s="14" t="n">
        <v>2.223</v>
      </c>
      <c r="H40" s="14" t="n">
        <v>0.935</v>
      </c>
      <c r="I40" s="13" t="s">
        <v>100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4" t="n">
        <v>1</v>
      </c>
      <c r="AF40" s="14" t="n">
        <v>5</v>
      </c>
      <c r="AG40" s="13"/>
      <c r="AH40" s="13" t="s">
        <v>43</v>
      </c>
      <c r="AI40" s="14" t="n">
        <v>0.236</v>
      </c>
    </row>
    <row r="41" customFormat="false" ht="15" hidden="false" customHeight="true" outlineLevel="0" collapsed="false">
      <c r="A41" s="13" t="s">
        <v>224</v>
      </c>
      <c r="B41" s="13" t="s">
        <v>155</v>
      </c>
      <c r="C41" s="13" t="s">
        <v>54</v>
      </c>
      <c r="D41" s="13" t="s">
        <v>42</v>
      </c>
      <c r="E41" s="14" t="n">
        <v>4.418</v>
      </c>
      <c r="F41" s="14" t="n">
        <v>2.201</v>
      </c>
      <c r="G41" s="14" t="n">
        <v>3.579</v>
      </c>
      <c r="H41" s="14" t="n">
        <v>1.378</v>
      </c>
      <c r="I41" s="13" t="s">
        <v>100</v>
      </c>
      <c r="J41" s="14" t="n">
        <v>0.508</v>
      </c>
      <c r="K41" s="14" t="n">
        <v>0.19</v>
      </c>
      <c r="L41" s="13" t="s">
        <v>58</v>
      </c>
      <c r="M41" s="14" t="n">
        <v>1.325</v>
      </c>
      <c r="N41" s="14" t="n">
        <v>0</v>
      </c>
      <c r="O41" s="14" t="n">
        <v>38.581</v>
      </c>
      <c r="P41" s="13" t="s">
        <v>60</v>
      </c>
      <c r="Q41" s="13" t="s">
        <v>58</v>
      </c>
      <c r="R41" s="14" t="n">
        <v>0.994</v>
      </c>
      <c r="S41" s="14" t="n">
        <v>0.139</v>
      </c>
      <c r="T41" s="13" t="s">
        <v>227</v>
      </c>
      <c r="U41" s="14" t="n">
        <v>1</v>
      </c>
      <c r="V41" s="14" t="n">
        <v>2.608</v>
      </c>
      <c r="W41" s="14" t="n">
        <v>1.033</v>
      </c>
      <c r="X41" s="14" t="n">
        <v>8.816</v>
      </c>
      <c r="Y41" s="13"/>
      <c r="Z41" s="14" t="n">
        <v>40.255</v>
      </c>
      <c r="AA41" s="14" t="n">
        <v>41.29</v>
      </c>
      <c r="AB41" s="14" t="n">
        <v>22.275</v>
      </c>
      <c r="AC41" s="14" t="n">
        <v>20.197</v>
      </c>
      <c r="AD41" s="14" t="n">
        <v>42.472</v>
      </c>
      <c r="AE41" s="14" t="n">
        <v>4</v>
      </c>
      <c r="AF41" s="14" t="n">
        <v>4</v>
      </c>
      <c r="AG41" s="13" t="s">
        <v>448</v>
      </c>
      <c r="AH41" s="13" t="s">
        <v>43</v>
      </c>
      <c r="AI41" s="14" t="n">
        <v>0.291</v>
      </c>
    </row>
    <row r="42" customFormat="false" ht="15" hidden="false" customHeight="true" outlineLevel="0" collapsed="false">
      <c r="A42" s="13" t="s">
        <v>229</v>
      </c>
      <c r="B42" s="13" t="s">
        <v>230</v>
      </c>
      <c r="C42" s="13" t="s">
        <v>47</v>
      </c>
      <c r="D42" s="13" t="s">
        <v>42</v>
      </c>
      <c r="E42" s="13"/>
      <c r="F42" s="14" t="n">
        <v>1.164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4" t="n">
        <v>0</v>
      </c>
      <c r="AF42" s="14" t="n">
        <v>1</v>
      </c>
      <c r="AG42" s="13"/>
      <c r="AH42" s="13" t="s">
        <v>43</v>
      </c>
      <c r="AI42" s="14" t="n">
        <v>1.118</v>
      </c>
    </row>
    <row r="43" customFormat="false" ht="15" hidden="false" customHeight="true" outlineLevel="0" collapsed="false">
      <c r="A43" s="13" t="s">
        <v>234</v>
      </c>
      <c r="B43" s="13" t="s">
        <v>230</v>
      </c>
      <c r="C43" s="13" t="s">
        <v>47</v>
      </c>
      <c r="D43" s="13" t="s">
        <v>42</v>
      </c>
      <c r="E43" s="13"/>
      <c r="F43" s="14" t="n">
        <v>1.135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4" t="n">
        <v>0</v>
      </c>
      <c r="AF43" s="14" t="n">
        <v>1</v>
      </c>
      <c r="AG43" s="13"/>
      <c r="AH43" s="13" t="s">
        <v>43</v>
      </c>
      <c r="AI43" s="14" t="n">
        <v>1.149</v>
      </c>
    </row>
    <row r="44" customFormat="false" ht="15" hidden="false" customHeight="true" outlineLevel="0" collapsed="false">
      <c r="A44" s="13" t="s">
        <v>238</v>
      </c>
      <c r="B44" s="13" t="s">
        <v>230</v>
      </c>
      <c r="C44" s="13" t="s">
        <v>54</v>
      </c>
      <c r="D44" s="13" t="s">
        <v>42</v>
      </c>
      <c r="E44" s="14" t="n">
        <v>3.806</v>
      </c>
      <c r="F44" s="14" t="n">
        <v>1.174</v>
      </c>
      <c r="G44" s="14" t="n">
        <v>1.188</v>
      </c>
      <c r="H44" s="14" t="n">
        <v>0.014</v>
      </c>
      <c r="I44" s="13" t="s">
        <v>59</v>
      </c>
      <c r="J44" s="14" t="n">
        <v>1.388</v>
      </c>
      <c r="K44" s="14" t="n">
        <v>0.293</v>
      </c>
      <c r="L44" s="13" t="s">
        <v>58</v>
      </c>
      <c r="M44" s="14" t="n">
        <v>2.743</v>
      </c>
      <c r="N44" s="14" t="n">
        <v>0</v>
      </c>
      <c r="O44" s="14" t="n">
        <v>18.103</v>
      </c>
      <c r="P44" s="13"/>
      <c r="Q44" s="13" t="s">
        <v>58</v>
      </c>
      <c r="R44" s="14" t="n">
        <v>0.56</v>
      </c>
      <c r="S44" s="14" t="n">
        <v>0.181</v>
      </c>
      <c r="T44" s="13" t="s">
        <v>240</v>
      </c>
      <c r="U44" s="14" t="n">
        <v>1</v>
      </c>
      <c r="V44" s="14" t="n">
        <v>2.559</v>
      </c>
      <c r="W44" s="14" t="n">
        <v>1.057</v>
      </c>
      <c r="X44" s="14" t="n">
        <v>19.666</v>
      </c>
      <c r="Y44" s="13"/>
      <c r="Z44" s="14" t="n">
        <v>48.367</v>
      </c>
      <c r="AA44" s="14" t="n">
        <v>44.711</v>
      </c>
      <c r="AB44" s="14" t="n">
        <v>30.328</v>
      </c>
      <c r="AC44" s="14" t="n">
        <v>20.671</v>
      </c>
      <c r="AD44" s="14" t="n">
        <v>50.999</v>
      </c>
      <c r="AE44" s="14" t="n">
        <v>4</v>
      </c>
      <c r="AF44" s="14" t="n">
        <v>4</v>
      </c>
      <c r="AG44" s="13" t="s">
        <v>448</v>
      </c>
      <c r="AH44" s="13" t="s">
        <v>43</v>
      </c>
      <c r="AI44" s="14" t="n">
        <v>0.223</v>
      </c>
    </row>
    <row r="45" customFormat="false" ht="15" hidden="false" customHeight="true" outlineLevel="0" collapsed="false">
      <c r="A45" s="13" t="s">
        <v>243</v>
      </c>
      <c r="B45" s="13" t="s">
        <v>230</v>
      </c>
      <c r="C45" s="13" t="s">
        <v>67</v>
      </c>
      <c r="D45" s="13" t="s">
        <v>42</v>
      </c>
      <c r="E45" s="14" t="n">
        <v>15.695</v>
      </c>
      <c r="F45" s="14" t="n">
        <v>1.192</v>
      </c>
      <c r="G45" s="14" t="n">
        <v>2.494</v>
      </c>
      <c r="H45" s="14" t="n">
        <v>1.324</v>
      </c>
      <c r="I45" s="13" t="s">
        <v>100</v>
      </c>
      <c r="J45" s="14" t="n">
        <v>0.807</v>
      </c>
      <c r="K45" s="14" t="n">
        <v>0.244</v>
      </c>
      <c r="L45" s="13" t="s">
        <v>58</v>
      </c>
      <c r="M45" s="14" t="n">
        <v>1.825</v>
      </c>
      <c r="N45" s="14" t="n">
        <v>0</v>
      </c>
      <c r="O45" s="14" t="n">
        <v>387.267</v>
      </c>
      <c r="P45" s="13" t="s">
        <v>60</v>
      </c>
      <c r="Q45" s="13" t="s">
        <v>58</v>
      </c>
      <c r="R45" s="14" t="n">
        <v>1.784</v>
      </c>
      <c r="S45" s="14" t="n">
        <v>0.145</v>
      </c>
      <c r="T45" s="13" t="s">
        <v>246</v>
      </c>
      <c r="U45" s="14" t="n">
        <v>1</v>
      </c>
      <c r="V45" s="14" t="n">
        <v>2.595</v>
      </c>
      <c r="W45" s="14" t="n">
        <v>1.032</v>
      </c>
      <c r="X45" s="14" t="n">
        <v>8.258</v>
      </c>
      <c r="Y45" s="13"/>
      <c r="Z45" s="14" t="n">
        <v>41.439</v>
      </c>
      <c r="AA45" s="14" t="n">
        <v>53.752</v>
      </c>
      <c r="AB45" s="14" t="n">
        <v>22.652</v>
      </c>
      <c r="AC45" s="14" t="n">
        <v>33.29</v>
      </c>
      <c r="AD45" s="14" t="n">
        <v>55.942</v>
      </c>
      <c r="AE45" s="14" t="n">
        <v>5</v>
      </c>
      <c r="AF45" s="14" t="n">
        <v>5</v>
      </c>
      <c r="AG45" s="13" t="s">
        <v>448</v>
      </c>
      <c r="AH45" s="13" t="s">
        <v>43</v>
      </c>
      <c r="AI45" s="14" t="n">
        <v>0.276</v>
      </c>
    </row>
    <row r="46" customFormat="false" ht="15" hidden="false" customHeight="true" outlineLevel="0" collapsed="false">
      <c r="A46" s="13" t="s">
        <v>249</v>
      </c>
      <c r="B46" s="13" t="s">
        <v>230</v>
      </c>
      <c r="C46" s="13" t="s">
        <v>76</v>
      </c>
      <c r="D46" s="13" t="s">
        <v>42</v>
      </c>
      <c r="E46" s="14" t="n">
        <v>37.298</v>
      </c>
      <c r="F46" s="14" t="n">
        <v>1.145</v>
      </c>
      <c r="G46" s="14" t="n">
        <v>1.148</v>
      </c>
      <c r="H46" s="14" t="n">
        <v>0.003</v>
      </c>
      <c r="I46" s="13" t="s">
        <v>59</v>
      </c>
      <c r="J46" s="14" t="n">
        <v>35.858</v>
      </c>
      <c r="K46" s="14" t="n">
        <v>0.176</v>
      </c>
      <c r="L46" s="13" t="s">
        <v>58</v>
      </c>
      <c r="M46" s="14" t="n">
        <v>1.874</v>
      </c>
      <c r="N46" s="14" t="n">
        <v>0</v>
      </c>
      <c r="O46" s="14" t="n">
        <v>625.081</v>
      </c>
      <c r="P46" s="13" t="s">
        <v>60</v>
      </c>
      <c r="Q46" s="13" t="s">
        <v>58</v>
      </c>
      <c r="R46" s="14" t="n">
        <v>4.246</v>
      </c>
      <c r="S46" s="14" t="n">
        <v>0.115</v>
      </c>
      <c r="T46" s="13" t="s">
        <v>252</v>
      </c>
      <c r="U46" s="14" t="n">
        <v>1</v>
      </c>
      <c r="V46" s="14" t="n">
        <v>2.593</v>
      </c>
      <c r="W46" s="14" t="n">
        <v>1.023</v>
      </c>
      <c r="X46" s="14" t="n">
        <v>8.103</v>
      </c>
      <c r="Y46" s="13"/>
      <c r="Z46" s="14" t="n">
        <v>29.012</v>
      </c>
      <c r="AA46" s="14" t="n">
        <v>62.936</v>
      </c>
      <c r="AB46" s="14" t="n">
        <v>33.064</v>
      </c>
      <c r="AC46" s="14" t="n">
        <v>32.101</v>
      </c>
      <c r="AD46" s="14" t="n">
        <v>65.165</v>
      </c>
      <c r="AE46" s="14" t="n">
        <v>7</v>
      </c>
      <c r="AF46" s="14" t="n">
        <v>7</v>
      </c>
      <c r="AG46" s="13" t="s">
        <v>448</v>
      </c>
      <c r="AH46" s="13" t="s">
        <v>43</v>
      </c>
      <c r="AI46" s="14" t="n">
        <v>0.261</v>
      </c>
    </row>
    <row r="47" customFormat="false" ht="15" hidden="false" customHeight="true" outlineLevel="0" collapsed="false">
      <c r="A47" s="13" t="s">
        <v>254</v>
      </c>
      <c r="B47" s="13" t="s">
        <v>230</v>
      </c>
      <c r="C47" s="13" t="s">
        <v>83</v>
      </c>
      <c r="D47" s="13" t="s">
        <v>42</v>
      </c>
      <c r="E47" s="14" t="n">
        <v>10.847</v>
      </c>
      <c r="F47" s="14" t="n">
        <v>1.157</v>
      </c>
      <c r="G47" s="14" t="n">
        <v>0.827</v>
      </c>
      <c r="H47" s="14" t="n">
        <v>0.02</v>
      </c>
      <c r="I47" s="13" t="s">
        <v>59</v>
      </c>
      <c r="J47" s="14" t="n">
        <v>0.185</v>
      </c>
      <c r="K47" s="14" t="n">
        <v>0.199</v>
      </c>
      <c r="L47" s="13" t="s">
        <v>58</v>
      </c>
      <c r="M47" s="14" t="n">
        <v>1.423</v>
      </c>
      <c r="N47" s="14" t="n">
        <v>0</v>
      </c>
      <c r="O47" s="14" t="n">
        <v>12.275</v>
      </c>
      <c r="P47" s="13" t="s">
        <v>60</v>
      </c>
      <c r="Q47" s="13" t="s">
        <v>58</v>
      </c>
      <c r="R47" s="14" t="n">
        <v>0.771</v>
      </c>
      <c r="S47" s="14" t="n">
        <v>0.127</v>
      </c>
      <c r="T47" s="13" t="s">
        <v>139</v>
      </c>
      <c r="U47" s="14" t="n">
        <v>1</v>
      </c>
      <c r="V47" s="14" t="n">
        <v>2.592</v>
      </c>
      <c r="W47" s="14" t="n">
        <v>1.025</v>
      </c>
      <c r="X47" s="14" t="n">
        <v>9.562</v>
      </c>
      <c r="Y47" s="13"/>
      <c r="Z47" s="14" t="n">
        <v>60.914</v>
      </c>
      <c r="AA47" s="14" t="n">
        <v>56.798</v>
      </c>
      <c r="AB47" s="14" t="n">
        <v>53.559</v>
      </c>
      <c r="AC47" s="14" t="n">
        <v>17.045</v>
      </c>
      <c r="AD47" s="14" t="n">
        <v>70.604</v>
      </c>
      <c r="AE47" s="14" t="n">
        <v>9</v>
      </c>
      <c r="AF47" s="14" t="n">
        <v>7</v>
      </c>
      <c r="AG47" s="13" t="s">
        <v>448</v>
      </c>
      <c r="AH47" s="13" t="s">
        <v>43</v>
      </c>
      <c r="AI47" s="14" t="n">
        <v>0.281</v>
      </c>
    </row>
    <row r="48" customFormat="false" ht="15" hidden="false" customHeight="true" outlineLevel="0" collapsed="false">
      <c r="A48" s="13" t="s">
        <v>258</v>
      </c>
      <c r="B48" s="13" t="s">
        <v>230</v>
      </c>
      <c r="C48" s="13" t="s">
        <v>150</v>
      </c>
      <c r="D48" s="13" t="s">
        <v>42</v>
      </c>
      <c r="E48" s="14" t="n">
        <v>36.438</v>
      </c>
      <c r="F48" s="14" t="n">
        <v>2.219</v>
      </c>
      <c r="G48" s="14" t="n">
        <v>2.444</v>
      </c>
      <c r="H48" s="14" t="n">
        <v>1.165</v>
      </c>
      <c r="I48" s="13" t="s">
        <v>100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4" t="n">
        <v>3</v>
      </c>
      <c r="AF48" s="14" t="n">
        <v>7</v>
      </c>
      <c r="AG48" s="13"/>
      <c r="AH48" s="13" t="s">
        <v>43</v>
      </c>
      <c r="AI48" s="14" t="n">
        <v>0.191</v>
      </c>
    </row>
    <row r="49" customFormat="false" ht="15" hidden="false" customHeight="true" outlineLevel="0" collapsed="false">
      <c r="A49" s="13" t="s">
        <v>261</v>
      </c>
      <c r="B49" s="13" t="s">
        <v>230</v>
      </c>
      <c r="C49" s="13" t="s">
        <v>38</v>
      </c>
      <c r="D49" s="13" t="s">
        <v>42</v>
      </c>
      <c r="E49" s="13"/>
      <c r="F49" s="14" t="n">
        <v>1.262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4" t="n">
        <v>0</v>
      </c>
      <c r="AF49" s="14" t="n">
        <v>1</v>
      </c>
      <c r="AG49" s="13"/>
      <c r="AH49" s="13" t="s">
        <v>43</v>
      </c>
      <c r="AI49" s="14" t="n">
        <v>0.15</v>
      </c>
    </row>
    <row r="50" customFormat="false" ht="15" hidden="false" customHeight="true" outlineLevel="0" collapsed="false">
      <c r="A50" s="13" t="s">
        <v>264</v>
      </c>
      <c r="B50" s="13" t="s">
        <v>230</v>
      </c>
      <c r="C50" s="13" t="s">
        <v>47</v>
      </c>
      <c r="D50" s="13" t="s">
        <v>42</v>
      </c>
      <c r="E50" s="13"/>
      <c r="F50" s="14" t="n">
        <v>1.254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4" t="n">
        <v>0</v>
      </c>
      <c r="AF50" s="14" t="n">
        <v>1</v>
      </c>
      <c r="AG50" s="13"/>
      <c r="AH50" s="13" t="s">
        <v>43</v>
      </c>
      <c r="AI50" s="14" t="n">
        <v>0.207</v>
      </c>
    </row>
    <row r="51" customFormat="false" ht="15" hidden="false" customHeight="true" outlineLevel="0" collapsed="false">
      <c r="A51" s="13" t="s">
        <v>268</v>
      </c>
      <c r="B51" s="13" t="s">
        <v>230</v>
      </c>
      <c r="C51" s="13" t="s">
        <v>54</v>
      </c>
      <c r="D51" s="13" t="s">
        <v>42</v>
      </c>
      <c r="E51" s="14" t="n">
        <v>5.313</v>
      </c>
      <c r="F51" s="14" t="n">
        <v>1.175</v>
      </c>
      <c r="G51" s="14" t="n">
        <v>2.351</v>
      </c>
      <c r="H51" s="14" t="n">
        <v>1.176</v>
      </c>
      <c r="I51" s="13" t="s">
        <v>100</v>
      </c>
      <c r="J51" s="14" t="n">
        <v>1.189</v>
      </c>
      <c r="K51" s="14" t="n">
        <v>1.151</v>
      </c>
      <c r="L51" s="13" t="s">
        <v>106</v>
      </c>
      <c r="M51" s="14" t="n">
        <v>0.259</v>
      </c>
      <c r="N51" s="14" t="n">
        <v>0.259</v>
      </c>
      <c r="O51" s="13"/>
      <c r="P51" s="13" t="s">
        <v>60</v>
      </c>
      <c r="Q51" s="13" t="s">
        <v>106</v>
      </c>
      <c r="R51" s="14" t="n">
        <v>0.541</v>
      </c>
      <c r="S51" s="14" t="n">
        <v>0.622</v>
      </c>
      <c r="T51" s="13" t="s">
        <v>270</v>
      </c>
      <c r="U51" s="14" t="n">
        <v>1</v>
      </c>
      <c r="V51" s="14" t="n">
        <v>2.602</v>
      </c>
      <c r="W51" s="14" t="n">
        <v>1.026</v>
      </c>
      <c r="X51" s="14" t="n">
        <v>6.383</v>
      </c>
      <c r="Y51" s="13"/>
      <c r="Z51" s="14" t="n">
        <v>27.32</v>
      </c>
      <c r="AA51" s="14" t="n">
        <v>29.264</v>
      </c>
      <c r="AB51" s="14" t="n">
        <v>12.644</v>
      </c>
      <c r="AC51" s="14" t="n">
        <v>18.814</v>
      </c>
      <c r="AD51" s="14" t="n">
        <v>31.458</v>
      </c>
      <c r="AE51" s="14" t="n">
        <v>3</v>
      </c>
      <c r="AF51" s="14" t="n">
        <v>3</v>
      </c>
      <c r="AG51" s="13" t="s">
        <v>450</v>
      </c>
      <c r="AH51" s="13" t="s">
        <v>43</v>
      </c>
      <c r="AI51" s="14" t="n">
        <v>0.224</v>
      </c>
    </row>
    <row r="52" customFormat="false" ht="15" hidden="false" customHeight="true" outlineLevel="0" collapsed="false">
      <c r="A52" s="13" t="s">
        <v>272</v>
      </c>
      <c r="B52" s="13" t="s">
        <v>230</v>
      </c>
      <c r="C52" s="13" t="s">
        <v>67</v>
      </c>
      <c r="D52" s="13" t="s">
        <v>42</v>
      </c>
      <c r="E52" s="14" t="n">
        <v>53.848</v>
      </c>
      <c r="F52" s="14" t="n">
        <v>1.464</v>
      </c>
      <c r="G52" s="14" t="n">
        <v>2.465</v>
      </c>
      <c r="H52" s="14" t="n">
        <v>1.001</v>
      </c>
      <c r="I52" s="13" t="s">
        <v>100</v>
      </c>
      <c r="J52" s="14" t="n">
        <v>51.046</v>
      </c>
      <c r="K52" s="14" t="n">
        <v>0.188</v>
      </c>
      <c r="L52" s="13" t="s">
        <v>58</v>
      </c>
      <c r="M52" s="14" t="n">
        <v>1.239</v>
      </c>
      <c r="N52" s="14" t="n">
        <v>0</v>
      </c>
      <c r="O52" s="14" t="n">
        <v>13.345</v>
      </c>
      <c r="P52" s="13" t="s">
        <v>60</v>
      </c>
      <c r="Q52" s="13" t="s">
        <v>58</v>
      </c>
      <c r="R52" s="14" t="n">
        <v>0.895</v>
      </c>
      <c r="S52" s="14" t="n">
        <v>0.136</v>
      </c>
      <c r="T52" s="13" t="s">
        <v>186</v>
      </c>
      <c r="U52" s="14" t="n">
        <v>11</v>
      </c>
      <c r="V52" s="14" t="n">
        <v>2.591</v>
      </c>
      <c r="W52" s="14" t="n">
        <v>1.03</v>
      </c>
      <c r="X52" s="14" t="n">
        <v>8.494</v>
      </c>
      <c r="Y52" s="13"/>
      <c r="Z52" s="14" t="n">
        <v>32.106</v>
      </c>
      <c r="AA52" s="14" t="n">
        <v>82.585</v>
      </c>
      <c r="AB52" s="14" t="n">
        <v>17.351</v>
      </c>
      <c r="AC52" s="14" t="n">
        <v>67.139</v>
      </c>
      <c r="AD52" s="14" t="n">
        <v>84.49</v>
      </c>
      <c r="AE52" s="14" t="n">
        <v>6</v>
      </c>
      <c r="AF52" s="14" t="n">
        <v>7</v>
      </c>
      <c r="AG52" s="13" t="s">
        <v>448</v>
      </c>
      <c r="AH52" s="13" t="s">
        <v>43</v>
      </c>
      <c r="AI52" s="14" t="n">
        <v>0.528</v>
      </c>
    </row>
    <row r="53" customFormat="false" ht="15" hidden="false" customHeight="true" outlineLevel="0" collapsed="false">
      <c r="A53" s="13" t="s">
        <v>277</v>
      </c>
      <c r="B53" s="13" t="s">
        <v>230</v>
      </c>
      <c r="C53" s="13" t="s">
        <v>83</v>
      </c>
      <c r="D53" s="13" t="s">
        <v>42</v>
      </c>
      <c r="E53" s="14" t="n">
        <v>8.105</v>
      </c>
      <c r="F53" s="14" t="n">
        <v>1.375</v>
      </c>
      <c r="G53" s="14" t="n">
        <v>1.03</v>
      </c>
      <c r="H53" s="14" t="n">
        <v>0.009</v>
      </c>
      <c r="I53" s="13" t="s">
        <v>59</v>
      </c>
      <c r="J53" s="14" t="n">
        <v>0.197</v>
      </c>
      <c r="K53" s="14" t="n">
        <v>0.524</v>
      </c>
      <c r="L53" s="13" t="s">
        <v>58</v>
      </c>
      <c r="M53" s="14" t="n">
        <v>2.738</v>
      </c>
      <c r="N53" s="14" t="n">
        <v>0</v>
      </c>
      <c r="O53" s="14" t="n">
        <v>392.412</v>
      </c>
      <c r="P53" s="13" t="s">
        <v>60</v>
      </c>
      <c r="Q53" s="13" t="s">
        <v>58</v>
      </c>
      <c r="R53" s="14" t="n">
        <v>5.455</v>
      </c>
      <c r="S53" s="14" t="n">
        <v>0.152</v>
      </c>
      <c r="T53" s="13" t="s">
        <v>252</v>
      </c>
      <c r="U53" s="14" t="n">
        <v>1</v>
      </c>
      <c r="V53" s="14" t="n">
        <v>2.602</v>
      </c>
      <c r="W53" s="14" t="n">
        <v>1.051</v>
      </c>
      <c r="X53" s="14" t="n">
        <v>9.652</v>
      </c>
      <c r="Y53" s="13"/>
      <c r="Z53" s="14" t="n">
        <v>27.204</v>
      </c>
      <c r="AA53" s="14" t="n">
        <v>28.794</v>
      </c>
      <c r="AB53" s="14" t="n">
        <v>15.158</v>
      </c>
      <c r="AC53" s="14" t="n">
        <v>18.776</v>
      </c>
      <c r="AD53" s="14" t="n">
        <v>33.934</v>
      </c>
      <c r="AE53" s="14" t="n">
        <v>3</v>
      </c>
      <c r="AF53" s="14" t="n">
        <v>3</v>
      </c>
      <c r="AG53" s="13" t="s">
        <v>448</v>
      </c>
      <c r="AH53" s="13" t="s">
        <v>43</v>
      </c>
      <c r="AI53" s="14" t="n">
        <v>0.244</v>
      </c>
    </row>
    <row r="54" customFormat="false" ht="15" hidden="false" customHeight="true" outlineLevel="0" collapsed="false">
      <c r="A54" s="13" t="s">
        <v>280</v>
      </c>
      <c r="B54" s="13" t="s">
        <v>230</v>
      </c>
      <c r="C54" s="13" t="s">
        <v>150</v>
      </c>
      <c r="D54" s="13" t="s">
        <v>42</v>
      </c>
      <c r="E54" s="14" t="n">
        <v>5.262</v>
      </c>
      <c r="F54" s="14" t="n">
        <v>1.354</v>
      </c>
      <c r="G54" s="14" t="n">
        <v>2.149</v>
      </c>
      <c r="H54" s="14" t="n">
        <v>1.037</v>
      </c>
      <c r="I54" s="13" t="s">
        <v>100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4" t="n">
        <v>3</v>
      </c>
      <c r="AF54" s="14" t="n">
        <v>8</v>
      </c>
      <c r="AG54" s="13"/>
      <c r="AH54" s="13" t="s">
        <v>43</v>
      </c>
      <c r="AI54" s="14" t="n">
        <v>0.228</v>
      </c>
    </row>
    <row r="55" customFormat="false" ht="15" hidden="false" customHeight="true" outlineLevel="0" collapsed="false">
      <c r="A55" s="13" t="s">
        <v>283</v>
      </c>
      <c r="B55" s="13" t="s">
        <v>230</v>
      </c>
      <c r="C55" s="13" t="s">
        <v>38</v>
      </c>
      <c r="D55" s="13" t="s">
        <v>42</v>
      </c>
      <c r="E55" s="13"/>
      <c r="F55" s="14" t="n">
        <v>1.487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4" t="n">
        <v>0</v>
      </c>
      <c r="AF55" s="14" t="n">
        <v>1</v>
      </c>
      <c r="AG55" s="13"/>
      <c r="AH55" s="13" t="s">
        <v>43</v>
      </c>
      <c r="AI55" s="14" t="n">
        <v>0.159</v>
      </c>
    </row>
    <row r="56" customFormat="false" ht="15" hidden="false" customHeight="true" outlineLevel="0" collapsed="false">
      <c r="A56" s="13" t="s">
        <v>286</v>
      </c>
      <c r="B56" s="13" t="s">
        <v>230</v>
      </c>
      <c r="C56" s="13" t="s">
        <v>47</v>
      </c>
      <c r="D56" s="13" t="s">
        <v>42</v>
      </c>
      <c r="E56" s="13"/>
      <c r="F56" s="14" t="n">
        <v>1.243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4" t="n">
        <v>0</v>
      </c>
      <c r="AF56" s="14" t="n">
        <v>1</v>
      </c>
      <c r="AG56" s="13"/>
      <c r="AH56" s="13" t="s">
        <v>43</v>
      </c>
      <c r="AI56" s="14" t="n">
        <v>0.611</v>
      </c>
    </row>
    <row r="57" customFormat="false" ht="15" hidden="false" customHeight="true" outlineLevel="0" collapsed="false">
      <c r="A57" s="13" t="s">
        <v>290</v>
      </c>
      <c r="B57" s="13" t="s">
        <v>230</v>
      </c>
      <c r="C57" s="13" t="s">
        <v>54</v>
      </c>
      <c r="D57" s="13" t="s">
        <v>42</v>
      </c>
      <c r="E57" s="14" t="n">
        <v>2.955</v>
      </c>
      <c r="F57" s="14" t="n">
        <v>1.143</v>
      </c>
      <c r="G57" s="14" t="n">
        <v>1.151</v>
      </c>
      <c r="H57" s="14" t="n">
        <v>0.008</v>
      </c>
      <c r="I57" s="13" t="s">
        <v>59</v>
      </c>
      <c r="J57" s="14" t="n">
        <v>1.312</v>
      </c>
      <c r="K57" s="14" t="n">
        <v>0.366</v>
      </c>
      <c r="L57" s="13" t="s">
        <v>58</v>
      </c>
      <c r="M57" s="14" t="n">
        <v>5.448</v>
      </c>
      <c r="N57" s="14" t="n">
        <v>0</v>
      </c>
      <c r="O57" s="14" t="n">
        <v>246.68</v>
      </c>
      <c r="P57" s="13" t="s">
        <v>60</v>
      </c>
      <c r="Q57" s="13" t="s">
        <v>58</v>
      </c>
      <c r="R57" s="14" t="n">
        <v>0.684</v>
      </c>
      <c r="S57" s="14" t="n">
        <v>0.107</v>
      </c>
      <c r="T57" s="13" t="s">
        <v>292</v>
      </c>
      <c r="U57" s="14" t="n">
        <v>1</v>
      </c>
      <c r="V57" s="14" t="n">
        <v>2.665</v>
      </c>
      <c r="W57" s="14" t="n">
        <v>0.911</v>
      </c>
      <c r="X57" s="14" t="n">
        <v>8.96</v>
      </c>
      <c r="Y57" s="13"/>
      <c r="Z57" s="14" t="n">
        <v>35.514</v>
      </c>
      <c r="AA57" s="14" t="n">
        <v>32.105</v>
      </c>
      <c r="AB57" s="14" t="n">
        <v>20.652</v>
      </c>
      <c r="AC57" s="14" t="n">
        <v>16.674</v>
      </c>
      <c r="AD57" s="14" t="n">
        <v>37.326</v>
      </c>
      <c r="AE57" s="14" t="n">
        <v>3</v>
      </c>
      <c r="AF57" s="14" t="n">
        <v>3</v>
      </c>
      <c r="AG57" s="13" t="s">
        <v>448</v>
      </c>
      <c r="AH57" s="13" t="s">
        <v>43</v>
      </c>
      <c r="AI57" s="14" t="n">
        <v>1.142</v>
      </c>
    </row>
    <row r="58" customFormat="false" ht="15" hidden="false" customHeight="true" outlineLevel="0" collapsed="false">
      <c r="A58" s="13" t="s">
        <v>294</v>
      </c>
      <c r="B58" s="13" t="s">
        <v>230</v>
      </c>
      <c r="C58" s="13" t="s">
        <v>83</v>
      </c>
      <c r="D58" s="13" t="s">
        <v>42</v>
      </c>
      <c r="E58" s="14" t="n">
        <v>17.6</v>
      </c>
      <c r="F58" s="14" t="n">
        <v>1.134</v>
      </c>
      <c r="G58" s="14" t="n">
        <v>0.83</v>
      </c>
      <c r="H58" s="14" t="n">
        <v>0.014</v>
      </c>
      <c r="I58" s="13" t="s">
        <v>59</v>
      </c>
      <c r="J58" s="14" t="n">
        <v>0.028</v>
      </c>
      <c r="K58" s="14" t="n">
        <v>0.137</v>
      </c>
      <c r="L58" s="13" t="s">
        <v>58</v>
      </c>
      <c r="M58" s="14" t="n">
        <v>3.156</v>
      </c>
      <c r="N58" s="14" t="n">
        <v>0</v>
      </c>
      <c r="O58" s="14" t="n">
        <v>11.854</v>
      </c>
      <c r="P58" s="13" t="s">
        <v>60</v>
      </c>
      <c r="Q58" s="13" t="s">
        <v>58</v>
      </c>
      <c r="R58" s="14" t="n">
        <v>0.812</v>
      </c>
      <c r="S58" s="14" t="n">
        <v>0.16</v>
      </c>
      <c r="T58" s="13" t="s">
        <v>295</v>
      </c>
      <c r="U58" s="14" t="n">
        <v>1</v>
      </c>
      <c r="V58" s="14" t="n">
        <v>2.59</v>
      </c>
      <c r="W58" s="14" t="n">
        <v>1.037</v>
      </c>
      <c r="X58" s="14" t="n">
        <v>7.528</v>
      </c>
      <c r="Y58" s="13"/>
      <c r="Z58" s="14" t="n">
        <v>62.953</v>
      </c>
      <c r="AA58" s="14" t="n">
        <v>64.773</v>
      </c>
      <c r="AB58" s="14" t="n">
        <v>48.811</v>
      </c>
      <c r="AC58" s="14" t="n">
        <v>30.608</v>
      </c>
      <c r="AD58" s="14" t="n">
        <v>79.419</v>
      </c>
      <c r="AE58" s="14" t="n">
        <v>8</v>
      </c>
      <c r="AF58" s="14" t="n">
        <v>9</v>
      </c>
      <c r="AG58" s="13" t="s">
        <v>448</v>
      </c>
      <c r="AH58" s="13" t="s">
        <v>43</v>
      </c>
      <c r="AI58" s="14" t="n">
        <v>0.235</v>
      </c>
    </row>
    <row r="59" customFormat="false" ht="15" hidden="false" customHeight="true" outlineLevel="0" collapsed="false">
      <c r="A59" s="13" t="s">
        <v>297</v>
      </c>
      <c r="B59" s="13" t="s">
        <v>230</v>
      </c>
      <c r="C59" s="13" t="s">
        <v>67</v>
      </c>
      <c r="D59" s="13" t="s">
        <v>42</v>
      </c>
      <c r="E59" s="14" t="n">
        <v>21.687</v>
      </c>
      <c r="F59" s="14" t="n">
        <v>1.2</v>
      </c>
      <c r="G59" s="14" t="n">
        <v>1.203</v>
      </c>
      <c r="H59" s="14" t="n">
        <v>0.003</v>
      </c>
      <c r="I59" s="13" t="s">
        <v>59</v>
      </c>
      <c r="J59" s="14" t="n">
        <v>19.967</v>
      </c>
      <c r="K59" s="14" t="n">
        <v>0.349</v>
      </c>
      <c r="L59" s="13" t="s">
        <v>58</v>
      </c>
      <c r="M59" s="14" t="n">
        <v>2.216</v>
      </c>
      <c r="N59" s="14" t="n">
        <v>0</v>
      </c>
      <c r="O59" s="14" t="n">
        <v>14.802</v>
      </c>
      <c r="P59" s="13"/>
      <c r="Q59" s="13" t="s">
        <v>58</v>
      </c>
      <c r="R59" s="14" t="n">
        <v>4.113</v>
      </c>
      <c r="S59" s="14" t="n">
        <v>0.126</v>
      </c>
      <c r="T59" s="13" t="s">
        <v>299</v>
      </c>
      <c r="U59" s="14" t="n">
        <v>1</v>
      </c>
      <c r="V59" s="14" t="n">
        <v>2.594</v>
      </c>
      <c r="W59" s="14" t="n">
        <v>1.03</v>
      </c>
      <c r="X59" s="14" t="n">
        <v>12.334</v>
      </c>
      <c r="Y59" s="13"/>
      <c r="Z59" s="14" t="n">
        <v>33.944</v>
      </c>
      <c r="AA59" s="14" t="n">
        <v>48.152</v>
      </c>
      <c r="AB59" s="14" t="n">
        <v>12.314</v>
      </c>
      <c r="AC59" s="14" t="n">
        <v>42.117</v>
      </c>
      <c r="AD59" s="14" t="n">
        <v>54.431</v>
      </c>
      <c r="AE59" s="14" t="n">
        <v>4</v>
      </c>
      <c r="AF59" s="14" t="n">
        <v>4</v>
      </c>
      <c r="AG59" s="13" t="s">
        <v>448</v>
      </c>
      <c r="AH59" s="13" t="s">
        <v>43</v>
      </c>
      <c r="AI59" s="14" t="n">
        <v>1.186</v>
      </c>
    </row>
    <row r="60" customFormat="false" ht="15" hidden="false" customHeight="true" outlineLevel="0" collapsed="false">
      <c r="A60" s="13" t="s">
        <v>301</v>
      </c>
      <c r="B60" s="13" t="s">
        <v>230</v>
      </c>
      <c r="C60" s="13" t="s">
        <v>76</v>
      </c>
      <c r="D60" s="13" t="s">
        <v>42</v>
      </c>
      <c r="E60" s="14" t="n">
        <v>44.862</v>
      </c>
      <c r="F60" s="14" t="n">
        <v>1.363</v>
      </c>
      <c r="G60" s="14" t="n">
        <v>2.404</v>
      </c>
      <c r="H60" s="14" t="n">
        <v>1.041</v>
      </c>
      <c r="I60" s="13" t="s">
        <v>100</v>
      </c>
      <c r="J60" s="14" t="n">
        <v>40.475</v>
      </c>
      <c r="K60" s="14" t="n">
        <v>0.517</v>
      </c>
      <c r="L60" s="13" t="s">
        <v>58</v>
      </c>
      <c r="M60" s="14" t="n">
        <v>2.711</v>
      </c>
      <c r="N60" s="14" t="n">
        <v>0</v>
      </c>
      <c r="O60" s="14" t="n">
        <v>218.501</v>
      </c>
      <c r="P60" s="13" t="s">
        <v>60</v>
      </c>
      <c r="Q60" s="13" t="s">
        <v>106</v>
      </c>
      <c r="R60" s="14" t="n">
        <v>1.281</v>
      </c>
      <c r="S60" s="14" t="n">
        <v>1.459</v>
      </c>
      <c r="T60" s="13" t="s">
        <v>305</v>
      </c>
      <c r="U60" s="14" t="n">
        <v>1</v>
      </c>
      <c r="V60" s="14" t="n">
        <v>2.59</v>
      </c>
      <c r="W60" s="14" t="n">
        <v>1.031</v>
      </c>
      <c r="X60" s="14" t="n">
        <v>7.563</v>
      </c>
      <c r="Y60" s="13"/>
      <c r="Z60" s="14" t="n">
        <v>37.171</v>
      </c>
      <c r="AA60" s="14" t="n">
        <v>74.55</v>
      </c>
      <c r="AB60" s="14" t="n">
        <v>39.345</v>
      </c>
      <c r="AC60" s="14" t="n">
        <v>41.325</v>
      </c>
      <c r="AD60" s="14" t="n">
        <v>80.67</v>
      </c>
      <c r="AE60" s="14" t="n">
        <v>7</v>
      </c>
      <c r="AF60" s="14" t="n">
        <v>6</v>
      </c>
      <c r="AG60" s="13" t="s">
        <v>448</v>
      </c>
      <c r="AH60" s="13" t="s">
        <v>43</v>
      </c>
      <c r="AI60" s="14" t="n">
        <v>0.248</v>
      </c>
    </row>
    <row r="61" customFormat="false" ht="15" hidden="false" customHeight="true" outlineLevel="0" collapsed="false">
      <c r="A61" s="13" t="s">
        <v>451</v>
      </c>
      <c r="B61" s="13" t="s">
        <v>230</v>
      </c>
      <c r="C61" s="13" t="s">
        <v>83</v>
      </c>
      <c r="D61" s="13" t="s">
        <v>42</v>
      </c>
      <c r="E61" s="14" t="n">
        <v>1.558</v>
      </c>
      <c r="F61" s="14" t="n">
        <v>1.103</v>
      </c>
      <c r="G61" s="14" t="n">
        <v>1.109</v>
      </c>
      <c r="H61" s="14" t="n">
        <v>0.006</v>
      </c>
      <c r="I61" s="13" t="s">
        <v>59</v>
      </c>
      <c r="J61" s="14" t="n">
        <v>0.07</v>
      </c>
      <c r="K61" s="14" t="n">
        <v>0.183</v>
      </c>
      <c r="L61" s="13" t="s">
        <v>58</v>
      </c>
      <c r="M61" s="14" t="n">
        <v>1.337</v>
      </c>
      <c r="N61" s="14" t="n">
        <v>0</v>
      </c>
      <c r="O61" s="14" t="n">
        <v>24.923</v>
      </c>
      <c r="P61" s="13" t="s">
        <v>60</v>
      </c>
      <c r="Q61" s="13" t="s">
        <v>58</v>
      </c>
      <c r="R61" s="14" t="n">
        <v>0.845</v>
      </c>
      <c r="S61" s="14" t="n">
        <v>0.18</v>
      </c>
      <c r="T61" s="13" t="s">
        <v>143</v>
      </c>
      <c r="U61" s="14" t="n">
        <v>1</v>
      </c>
      <c r="V61" s="14" t="n">
        <v>2.597</v>
      </c>
      <c r="W61" s="14" t="n">
        <v>1.024</v>
      </c>
      <c r="X61" s="14" t="n">
        <v>7.913</v>
      </c>
      <c r="Y61" s="13"/>
      <c r="Z61" s="14" t="n">
        <v>40.11</v>
      </c>
      <c r="AA61" s="14" t="n">
        <v>24.392</v>
      </c>
      <c r="AB61" s="14" t="n">
        <v>26.232</v>
      </c>
      <c r="AC61" s="14" t="n">
        <v>14.333</v>
      </c>
      <c r="AD61" s="14" t="n">
        <v>40.565</v>
      </c>
      <c r="AE61" s="14" t="n">
        <v>7</v>
      </c>
      <c r="AF61" s="14" t="n">
        <v>7</v>
      </c>
      <c r="AG61" s="13" t="s">
        <v>448</v>
      </c>
      <c r="AH61" s="13" t="s">
        <v>43</v>
      </c>
      <c r="AI61" s="14" t="n">
        <v>0.247</v>
      </c>
    </row>
    <row r="62" customFormat="false" ht="15" hidden="false" customHeight="true" outlineLevel="0" collapsed="false">
      <c r="A62" s="13" t="s">
        <v>307</v>
      </c>
      <c r="B62" s="13" t="s">
        <v>230</v>
      </c>
      <c r="C62" s="13" t="s">
        <v>150</v>
      </c>
      <c r="D62" s="13" t="s">
        <v>42</v>
      </c>
      <c r="E62" s="14" t="n">
        <v>2.713</v>
      </c>
      <c r="F62" s="14" t="n">
        <v>1.295</v>
      </c>
      <c r="G62" s="14" t="n">
        <v>2.203</v>
      </c>
      <c r="H62" s="14" t="n">
        <v>0.908</v>
      </c>
      <c r="I62" s="13" t="s">
        <v>100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4" t="n">
        <v>0</v>
      </c>
      <c r="AF62" s="14" t="n">
        <v>2</v>
      </c>
      <c r="AG62" s="13"/>
      <c r="AH62" s="13" t="s">
        <v>43</v>
      </c>
      <c r="AI62" s="14" t="n">
        <v>0.231</v>
      </c>
    </row>
    <row r="63" customFormat="false" ht="15" hidden="false" customHeight="true" outlineLevel="0" collapsed="false">
      <c r="A63" s="13" t="s">
        <v>310</v>
      </c>
      <c r="B63" s="13" t="s">
        <v>230</v>
      </c>
      <c r="C63" s="13" t="s">
        <v>76</v>
      </c>
      <c r="D63" s="13" t="s">
        <v>42</v>
      </c>
      <c r="E63" s="14" t="n">
        <v>20.512</v>
      </c>
      <c r="F63" s="14" t="n">
        <v>1.454</v>
      </c>
      <c r="G63" s="14" t="n">
        <v>2.13</v>
      </c>
      <c r="H63" s="14" t="n">
        <v>1.17</v>
      </c>
      <c r="I63" s="13" t="s">
        <v>100</v>
      </c>
      <c r="J63" s="14" t="n">
        <v>0.068</v>
      </c>
      <c r="K63" s="14" t="n">
        <v>1.7</v>
      </c>
      <c r="L63" s="13" t="s">
        <v>106</v>
      </c>
      <c r="M63" s="14" t="n">
        <v>0.17</v>
      </c>
      <c r="N63" s="14" t="n">
        <v>0.17</v>
      </c>
      <c r="O63" s="13"/>
      <c r="P63" s="13" t="s">
        <v>60</v>
      </c>
      <c r="Q63" s="13" t="s">
        <v>106</v>
      </c>
      <c r="R63" s="14" t="n">
        <v>7.293</v>
      </c>
      <c r="S63" s="14" t="n">
        <v>7.4</v>
      </c>
      <c r="T63" s="13" t="s">
        <v>312</v>
      </c>
      <c r="U63" s="14" t="n">
        <v>8</v>
      </c>
      <c r="V63" s="14" t="n">
        <v>2.586</v>
      </c>
      <c r="W63" s="14" t="n">
        <v>1.033</v>
      </c>
      <c r="X63" s="14" t="n">
        <v>6.687</v>
      </c>
      <c r="Y63" s="13"/>
      <c r="Z63" s="14" t="n">
        <v>34.545</v>
      </c>
      <c r="AA63" s="14" t="n">
        <v>43.936</v>
      </c>
      <c r="AB63" s="14" t="n">
        <v>19.238</v>
      </c>
      <c r="AC63" s="14" t="n">
        <v>34.365</v>
      </c>
      <c r="AD63" s="14" t="n">
        <v>53.603</v>
      </c>
      <c r="AE63" s="14" t="n">
        <v>6</v>
      </c>
      <c r="AF63" s="14" t="n">
        <v>6</v>
      </c>
      <c r="AG63" s="13" t="s">
        <v>450</v>
      </c>
      <c r="AH63" s="13" t="s">
        <v>43</v>
      </c>
      <c r="AI63" s="14" t="n">
        <v>0.224</v>
      </c>
    </row>
    <row r="64" customFormat="false" ht="15" hidden="false" customHeight="true" outlineLevel="0" collapsed="false">
      <c r="A64" s="13" t="s">
        <v>314</v>
      </c>
      <c r="B64" s="13" t="s">
        <v>230</v>
      </c>
      <c r="C64" s="13" t="s">
        <v>38</v>
      </c>
      <c r="D64" s="13" t="s">
        <v>42</v>
      </c>
      <c r="E64" s="13"/>
      <c r="F64" s="14" t="n">
        <v>1.267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4" t="n">
        <v>0</v>
      </c>
      <c r="AF64" s="14" t="n">
        <v>1</v>
      </c>
      <c r="AG64" s="13"/>
      <c r="AH64" s="13" t="s">
        <v>43</v>
      </c>
      <c r="AI64" s="14" t="n">
        <v>0.213</v>
      </c>
    </row>
    <row r="65" customFormat="false" ht="15" hidden="false" customHeight="true" outlineLevel="0" collapsed="false">
      <c r="A65" s="13" t="s">
        <v>317</v>
      </c>
      <c r="B65" s="13" t="s">
        <v>230</v>
      </c>
      <c r="C65" s="13" t="s">
        <v>47</v>
      </c>
      <c r="D65" s="13" t="s">
        <v>42</v>
      </c>
      <c r="E65" s="13"/>
      <c r="F65" s="14" t="n">
        <v>1.282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4" t="n">
        <v>0</v>
      </c>
      <c r="AF65" s="14" t="n">
        <v>1</v>
      </c>
      <c r="AG65" s="13"/>
      <c r="AH65" s="13" t="s">
        <v>43</v>
      </c>
      <c r="AI65" s="14" t="n">
        <v>1.289</v>
      </c>
    </row>
    <row r="66" customFormat="false" ht="15" hidden="false" customHeight="true" outlineLevel="0" collapsed="false">
      <c r="A66" s="13" t="s">
        <v>321</v>
      </c>
      <c r="B66" s="13" t="s">
        <v>230</v>
      </c>
      <c r="C66" s="13" t="s">
        <v>54</v>
      </c>
      <c r="D66" s="13" t="s">
        <v>42</v>
      </c>
      <c r="E66" s="14" t="n">
        <v>2.715</v>
      </c>
      <c r="F66" s="14" t="n">
        <v>1.181</v>
      </c>
      <c r="G66" s="14" t="n">
        <v>1.184</v>
      </c>
      <c r="H66" s="14" t="n">
        <v>0.003</v>
      </c>
      <c r="I66" s="13" t="s">
        <v>59</v>
      </c>
      <c r="J66" s="14" t="n">
        <v>1.176</v>
      </c>
      <c r="K66" s="14" t="n">
        <v>0.18</v>
      </c>
      <c r="L66" s="13" t="s">
        <v>58</v>
      </c>
      <c r="M66" s="14" t="n">
        <v>1.661</v>
      </c>
      <c r="N66" s="14" t="n">
        <v>0</v>
      </c>
      <c r="O66" s="14" t="n">
        <v>18.071</v>
      </c>
      <c r="P66" s="13" t="s">
        <v>60</v>
      </c>
      <c r="Q66" s="13" t="s">
        <v>58</v>
      </c>
      <c r="R66" s="14" t="n">
        <v>0.734</v>
      </c>
      <c r="S66" s="14" t="n">
        <v>0.167</v>
      </c>
      <c r="T66" s="13" t="s">
        <v>240</v>
      </c>
      <c r="U66" s="14" t="n">
        <v>1</v>
      </c>
      <c r="V66" s="14" t="n">
        <v>2.637</v>
      </c>
      <c r="W66" s="14" t="n">
        <v>0.991</v>
      </c>
      <c r="X66" s="14" t="n">
        <v>5.89</v>
      </c>
      <c r="Y66" s="13"/>
      <c r="Z66" s="14" t="n">
        <v>58.375</v>
      </c>
      <c r="AA66" s="14" t="n">
        <v>53.626</v>
      </c>
      <c r="AB66" s="14" t="n">
        <v>26.823</v>
      </c>
      <c r="AC66" s="14" t="n">
        <v>33.086</v>
      </c>
      <c r="AD66" s="14" t="n">
        <v>59.909</v>
      </c>
      <c r="AE66" s="14" t="n">
        <v>7</v>
      </c>
      <c r="AF66" s="14" t="n">
        <v>7</v>
      </c>
      <c r="AG66" s="13" t="s">
        <v>448</v>
      </c>
      <c r="AH66" s="13" t="s">
        <v>43</v>
      </c>
      <c r="AI66" s="14" t="n">
        <v>0.299</v>
      </c>
    </row>
    <row r="67" customFormat="false" ht="15" hidden="false" customHeight="true" outlineLevel="0" collapsed="false">
      <c r="A67" s="13" t="s">
        <v>323</v>
      </c>
      <c r="B67" s="13" t="s">
        <v>230</v>
      </c>
      <c r="C67" s="13" t="s">
        <v>67</v>
      </c>
      <c r="D67" s="13" t="s">
        <v>42</v>
      </c>
      <c r="E67" s="14" t="n">
        <v>4.148</v>
      </c>
      <c r="F67" s="14" t="n">
        <v>1.432</v>
      </c>
      <c r="G67" s="14" t="n">
        <v>2.309</v>
      </c>
      <c r="H67" s="14" t="n">
        <v>0.877</v>
      </c>
      <c r="I67" s="13" t="s">
        <v>100</v>
      </c>
      <c r="J67" s="14" t="n">
        <v>1.344</v>
      </c>
      <c r="K67" s="14" t="n">
        <v>0.318</v>
      </c>
      <c r="L67" s="13" t="s">
        <v>58</v>
      </c>
      <c r="M67" s="14" t="n">
        <v>2.194</v>
      </c>
      <c r="N67" s="14" t="n">
        <v>0</v>
      </c>
      <c r="O67" s="14" t="n">
        <v>150.868</v>
      </c>
      <c r="P67" s="13" t="s">
        <v>60</v>
      </c>
      <c r="Q67" s="13" t="s">
        <v>58</v>
      </c>
      <c r="R67" s="14" t="n">
        <v>0.839</v>
      </c>
      <c r="S67" s="14" t="n">
        <v>0.158</v>
      </c>
      <c r="T67" s="13" t="s">
        <v>192</v>
      </c>
      <c r="U67" s="14" t="n">
        <v>1</v>
      </c>
      <c r="V67" s="14" t="n">
        <v>2.594</v>
      </c>
      <c r="W67" s="14" t="n">
        <v>1.023</v>
      </c>
      <c r="X67" s="14" t="n">
        <v>21.779</v>
      </c>
      <c r="Y67" s="13"/>
      <c r="Z67" s="14" t="n">
        <v>49.982</v>
      </c>
      <c r="AA67" s="14" t="n">
        <v>42.096</v>
      </c>
      <c r="AB67" s="14" t="n">
        <v>33.989</v>
      </c>
      <c r="AC67" s="14" t="n">
        <v>18.709</v>
      </c>
      <c r="AD67" s="14" t="n">
        <v>52.698</v>
      </c>
      <c r="AE67" s="14" t="n">
        <v>6</v>
      </c>
      <c r="AF67" s="14" t="n">
        <v>7</v>
      </c>
      <c r="AG67" s="13" t="s">
        <v>448</v>
      </c>
      <c r="AH67" s="13" t="s">
        <v>43</v>
      </c>
      <c r="AI67" s="14" t="n">
        <v>0.227</v>
      </c>
    </row>
    <row r="68" customFormat="false" ht="15" hidden="false" customHeight="true" outlineLevel="0" collapsed="false">
      <c r="A68" s="13" t="s">
        <v>327</v>
      </c>
      <c r="B68" s="13" t="s">
        <v>230</v>
      </c>
      <c r="C68" s="13" t="s">
        <v>76</v>
      </c>
      <c r="D68" s="13" t="s">
        <v>42</v>
      </c>
      <c r="E68" s="14" t="n">
        <v>17.197</v>
      </c>
      <c r="F68" s="14" t="n">
        <v>1.277</v>
      </c>
      <c r="G68" s="14" t="n">
        <v>2.522</v>
      </c>
      <c r="H68" s="14" t="n">
        <v>1.162</v>
      </c>
      <c r="I68" s="13" t="s">
        <v>100</v>
      </c>
      <c r="J68" s="14" t="n">
        <v>0.033</v>
      </c>
      <c r="K68" s="14" t="n">
        <v>0.206</v>
      </c>
      <c r="L68" s="13" t="s">
        <v>58</v>
      </c>
      <c r="M68" s="14" t="n">
        <v>1.185</v>
      </c>
      <c r="N68" s="14" t="n">
        <v>0</v>
      </c>
      <c r="O68" s="14" t="n">
        <v>51.172</v>
      </c>
      <c r="P68" s="13" t="s">
        <v>60</v>
      </c>
      <c r="Q68" s="13" t="s">
        <v>58</v>
      </c>
      <c r="R68" s="14" t="n">
        <v>0.691</v>
      </c>
      <c r="S68" s="14" t="n">
        <v>0.159</v>
      </c>
      <c r="T68" s="13" t="s">
        <v>292</v>
      </c>
      <c r="U68" s="14" t="n">
        <v>1</v>
      </c>
      <c r="V68" s="14" t="n">
        <v>2.589</v>
      </c>
      <c r="W68" s="14" t="n">
        <v>1.032</v>
      </c>
      <c r="X68" s="14" t="n">
        <v>9.756</v>
      </c>
      <c r="Y68" s="13"/>
      <c r="Z68" s="14" t="n">
        <v>27.871</v>
      </c>
      <c r="AA68" s="14" t="n">
        <v>37.72</v>
      </c>
      <c r="AB68" s="14" t="n">
        <v>19.002</v>
      </c>
      <c r="AC68" s="14" t="n">
        <v>24.789</v>
      </c>
      <c r="AD68" s="14" t="n">
        <v>43.791</v>
      </c>
      <c r="AE68" s="14" t="n">
        <v>4</v>
      </c>
      <c r="AF68" s="14" t="n">
        <v>3</v>
      </c>
      <c r="AG68" s="13" t="s">
        <v>448</v>
      </c>
      <c r="AH68" s="13" t="s">
        <v>43</v>
      </c>
      <c r="AI68" s="14" t="n">
        <v>0.301</v>
      </c>
    </row>
    <row r="69" customFormat="false" ht="15" hidden="false" customHeight="true" outlineLevel="0" collapsed="false">
      <c r="A69" s="13" t="s">
        <v>330</v>
      </c>
      <c r="B69" s="13" t="s">
        <v>230</v>
      </c>
      <c r="C69" s="13" t="s">
        <v>83</v>
      </c>
      <c r="D69" s="13" t="s">
        <v>42</v>
      </c>
      <c r="E69" s="14" t="n">
        <v>14.917</v>
      </c>
      <c r="F69" s="14" t="n">
        <v>1.202</v>
      </c>
      <c r="G69" s="14" t="n">
        <v>0.812</v>
      </c>
      <c r="H69" s="14" t="n">
        <v>0.004</v>
      </c>
      <c r="I69" s="13" t="s">
        <v>59</v>
      </c>
      <c r="J69" s="14" t="n">
        <v>0.228</v>
      </c>
      <c r="K69" s="14" t="n">
        <v>0.319</v>
      </c>
      <c r="L69" s="13" t="s">
        <v>58</v>
      </c>
      <c r="M69" s="14" t="n">
        <v>2.168</v>
      </c>
      <c r="N69" s="14" t="n">
        <v>0</v>
      </c>
      <c r="O69" s="14" t="n">
        <v>152.003</v>
      </c>
      <c r="P69" s="13" t="s">
        <v>60</v>
      </c>
      <c r="Q69" s="13" t="s">
        <v>106</v>
      </c>
      <c r="R69" s="14" t="n">
        <v>2.44</v>
      </c>
      <c r="S69" s="14" t="n">
        <v>2.545</v>
      </c>
      <c r="T69" s="13" t="s">
        <v>332</v>
      </c>
      <c r="U69" s="14" t="n">
        <v>2</v>
      </c>
      <c r="V69" s="14" t="n">
        <v>2.584</v>
      </c>
      <c r="W69" s="14" t="n">
        <v>1.039</v>
      </c>
      <c r="X69" s="14" t="n">
        <v>9.163</v>
      </c>
      <c r="Y69" s="13"/>
      <c r="Z69" s="14" t="n">
        <v>33.568</v>
      </c>
      <c r="AA69" s="14" t="n">
        <v>36.209</v>
      </c>
      <c r="AB69" s="14" t="n">
        <v>20.198</v>
      </c>
      <c r="AC69" s="14" t="n">
        <v>27.085</v>
      </c>
      <c r="AD69" s="14" t="n">
        <v>47.283</v>
      </c>
      <c r="AE69" s="14" t="n">
        <v>5</v>
      </c>
      <c r="AF69" s="14" t="n">
        <v>5</v>
      </c>
      <c r="AG69" s="13" t="s">
        <v>448</v>
      </c>
      <c r="AH69" s="13" t="s">
        <v>43</v>
      </c>
      <c r="AI69" s="14" t="n">
        <v>0.275</v>
      </c>
    </row>
    <row r="70" customFormat="false" ht="15" hidden="false" customHeight="true" outlineLevel="0" collapsed="false">
      <c r="A70" s="13" t="s">
        <v>334</v>
      </c>
      <c r="B70" s="13" t="s">
        <v>230</v>
      </c>
      <c r="C70" s="13" t="s">
        <v>150</v>
      </c>
      <c r="D70" s="13" t="s">
        <v>42</v>
      </c>
      <c r="E70" s="14" t="n">
        <v>7.552</v>
      </c>
      <c r="F70" s="14" t="n">
        <v>1.195</v>
      </c>
      <c r="G70" s="14" t="n">
        <v>2.273</v>
      </c>
      <c r="H70" s="14" t="n">
        <v>1.089</v>
      </c>
      <c r="I70" s="13" t="s">
        <v>100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4" t="n">
        <v>1</v>
      </c>
      <c r="AF70" s="14" t="n">
        <v>5</v>
      </c>
      <c r="AG70" s="13"/>
      <c r="AH70" s="13" t="s">
        <v>43</v>
      </c>
      <c r="AI70" s="14" t="n">
        <v>0.329</v>
      </c>
    </row>
    <row r="71" customFormat="false" ht="15" hidden="false" customHeight="true" outlineLevel="0" collapsed="false">
      <c r="A71" s="13" t="s">
        <v>337</v>
      </c>
      <c r="B71" s="13" t="s">
        <v>230</v>
      </c>
      <c r="C71" s="13" t="s">
        <v>38</v>
      </c>
      <c r="D71" s="13" t="s">
        <v>42</v>
      </c>
      <c r="E71" s="13"/>
      <c r="F71" s="14" t="n">
        <v>1.255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4" t="n">
        <v>0</v>
      </c>
      <c r="AF71" s="14" t="n">
        <v>1</v>
      </c>
      <c r="AG71" s="13"/>
      <c r="AH71" s="13" t="s">
        <v>43</v>
      </c>
      <c r="AI71" s="14" t="n">
        <v>0.17</v>
      </c>
    </row>
    <row r="72" customFormat="false" ht="15" hidden="false" customHeight="true" outlineLevel="0" collapsed="false">
      <c r="A72" s="13" t="s">
        <v>340</v>
      </c>
      <c r="B72" s="13" t="s">
        <v>230</v>
      </c>
      <c r="C72" s="13" t="s">
        <v>47</v>
      </c>
      <c r="D72" s="13" t="s">
        <v>42</v>
      </c>
      <c r="E72" s="13"/>
      <c r="F72" s="14" t="n">
        <v>1.129</v>
      </c>
      <c r="G72" s="14" t="n">
        <v>1.134</v>
      </c>
      <c r="H72" s="14" t="n">
        <v>0.005</v>
      </c>
      <c r="I72" s="13" t="s">
        <v>59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4" t="n">
        <v>0</v>
      </c>
      <c r="AF72" s="14" t="n">
        <v>1</v>
      </c>
      <c r="AG72" s="13"/>
      <c r="AH72" s="13" t="s">
        <v>43</v>
      </c>
      <c r="AI72" s="14" t="n">
        <v>0.185</v>
      </c>
    </row>
    <row r="73" customFormat="false" ht="15" hidden="false" customHeight="true" outlineLevel="0" collapsed="false">
      <c r="A73" s="13" t="s">
        <v>343</v>
      </c>
      <c r="B73" s="13" t="s">
        <v>230</v>
      </c>
      <c r="C73" s="13" t="s">
        <v>54</v>
      </c>
      <c r="D73" s="13" t="s">
        <v>42</v>
      </c>
      <c r="E73" s="14" t="n">
        <v>3.799</v>
      </c>
      <c r="F73" s="14" t="n">
        <v>1.194</v>
      </c>
      <c r="G73" s="14" t="n">
        <v>1.197</v>
      </c>
      <c r="H73" s="14" t="n">
        <v>0.003</v>
      </c>
      <c r="I73" s="13" t="s">
        <v>59</v>
      </c>
      <c r="J73" s="14" t="n">
        <v>0.239</v>
      </c>
      <c r="K73" s="14" t="n">
        <v>1.467</v>
      </c>
      <c r="L73" s="13" t="s">
        <v>106</v>
      </c>
      <c r="M73" s="14" t="n">
        <v>0.172</v>
      </c>
      <c r="N73" s="14" t="n">
        <v>0.172</v>
      </c>
      <c r="O73" s="13"/>
      <c r="P73" s="13" t="s">
        <v>60</v>
      </c>
      <c r="Q73" s="13" t="s">
        <v>106</v>
      </c>
      <c r="R73" s="14" t="n">
        <v>0.764</v>
      </c>
      <c r="S73" s="14" t="n">
        <v>0.891</v>
      </c>
      <c r="T73" s="13" t="s">
        <v>305</v>
      </c>
      <c r="U73" s="14" t="n">
        <v>1</v>
      </c>
      <c r="V73" s="14" t="n">
        <v>2.615</v>
      </c>
      <c r="W73" s="14" t="n">
        <v>1.008</v>
      </c>
      <c r="X73" s="14" t="n">
        <v>6.593</v>
      </c>
      <c r="Y73" s="13"/>
      <c r="Z73" s="14" t="n">
        <v>33.903</v>
      </c>
      <c r="AA73" s="14" t="n">
        <v>31.4</v>
      </c>
      <c r="AB73" s="14" t="n">
        <v>15.009</v>
      </c>
      <c r="AC73" s="14" t="n">
        <v>21.499</v>
      </c>
      <c r="AD73" s="14" t="n">
        <v>36.508</v>
      </c>
      <c r="AE73" s="14" t="n">
        <v>3</v>
      </c>
      <c r="AF73" s="14" t="n">
        <v>3</v>
      </c>
      <c r="AG73" s="13" t="s">
        <v>450</v>
      </c>
      <c r="AH73" s="13" t="s">
        <v>43</v>
      </c>
      <c r="AI73" s="14" t="n">
        <v>0.197</v>
      </c>
    </row>
    <row r="74" customFormat="false" ht="15" hidden="false" customHeight="true" outlineLevel="0" collapsed="false">
      <c r="A74" s="13" t="s">
        <v>346</v>
      </c>
      <c r="B74" s="13" t="s">
        <v>230</v>
      </c>
      <c r="C74" s="13" t="s">
        <v>67</v>
      </c>
      <c r="D74" s="13" t="s">
        <v>42</v>
      </c>
      <c r="E74" s="14" t="n">
        <v>1.95</v>
      </c>
      <c r="F74" s="14" t="n">
        <v>1.43</v>
      </c>
      <c r="G74" s="14" t="n">
        <v>1.434</v>
      </c>
      <c r="H74" s="14" t="n">
        <v>0.004</v>
      </c>
      <c r="I74" s="13" t="s">
        <v>59</v>
      </c>
      <c r="J74" s="14" t="n">
        <v>0.152</v>
      </c>
      <c r="K74" s="14" t="n">
        <v>0.232</v>
      </c>
      <c r="L74" s="13" t="s">
        <v>58</v>
      </c>
      <c r="M74" s="14" t="n">
        <v>2.755</v>
      </c>
      <c r="N74" s="14" t="n">
        <v>0</v>
      </c>
      <c r="O74" s="14" t="n">
        <v>32.527</v>
      </c>
      <c r="P74" s="13" t="s">
        <v>60</v>
      </c>
      <c r="Q74" s="13" t="s">
        <v>58</v>
      </c>
      <c r="R74" s="14" t="n">
        <v>0.696</v>
      </c>
      <c r="S74" s="14" t="n">
        <v>0.116</v>
      </c>
      <c r="T74" s="13" t="s">
        <v>305</v>
      </c>
      <c r="U74" s="14" t="n">
        <v>1</v>
      </c>
      <c r="V74" s="14" t="n">
        <v>2.585</v>
      </c>
      <c r="W74" s="14" t="n">
        <v>1.037</v>
      </c>
      <c r="X74" s="14" t="n">
        <v>9.365</v>
      </c>
      <c r="Y74" s="13"/>
      <c r="Z74" s="14" t="n">
        <v>56.726</v>
      </c>
      <c r="AA74" s="14" t="n">
        <v>51.192</v>
      </c>
      <c r="AB74" s="14" t="n">
        <v>27.741</v>
      </c>
      <c r="AC74" s="14" t="n">
        <v>29.505</v>
      </c>
      <c r="AD74" s="14" t="n">
        <v>57.246</v>
      </c>
      <c r="AE74" s="14" t="n">
        <v>6</v>
      </c>
      <c r="AF74" s="14" t="n">
        <v>6</v>
      </c>
      <c r="AG74" s="13" t="s">
        <v>448</v>
      </c>
      <c r="AH74" s="13" t="s">
        <v>43</v>
      </c>
      <c r="AI74" s="14" t="n">
        <v>0.263</v>
      </c>
    </row>
    <row r="75" customFormat="false" ht="15" hidden="false" customHeight="true" outlineLevel="0" collapsed="false">
      <c r="A75" s="13" t="s">
        <v>350</v>
      </c>
      <c r="B75" s="13" t="s">
        <v>230</v>
      </c>
      <c r="C75" s="13" t="s">
        <v>76</v>
      </c>
      <c r="D75" s="13" t="s">
        <v>42</v>
      </c>
      <c r="E75" s="14" t="n">
        <v>17.288</v>
      </c>
      <c r="F75" s="14" t="n">
        <v>0.775</v>
      </c>
      <c r="G75" s="14" t="n">
        <v>0.809</v>
      </c>
      <c r="H75" s="14" t="n">
        <v>0.004</v>
      </c>
      <c r="I75" s="13" t="s">
        <v>59</v>
      </c>
      <c r="J75" s="14" t="n">
        <v>0.038</v>
      </c>
      <c r="K75" s="14" t="n">
        <v>0.189</v>
      </c>
      <c r="L75" s="13" t="s">
        <v>58</v>
      </c>
      <c r="M75" s="14" t="n">
        <v>2.592</v>
      </c>
      <c r="N75" s="14" t="n">
        <v>0</v>
      </c>
      <c r="O75" s="14" t="n">
        <v>3.461</v>
      </c>
      <c r="P75" s="13" t="s">
        <v>60</v>
      </c>
      <c r="Q75" s="13" t="s">
        <v>58</v>
      </c>
      <c r="R75" s="14" t="n">
        <v>2.697</v>
      </c>
      <c r="S75" s="14" t="n">
        <v>0.107</v>
      </c>
      <c r="T75" s="13" t="s">
        <v>353</v>
      </c>
      <c r="U75" s="14" t="n">
        <v>1</v>
      </c>
      <c r="V75" s="14" t="n">
        <v>2.588</v>
      </c>
      <c r="W75" s="14" t="n">
        <v>1.033</v>
      </c>
      <c r="X75" s="14" t="n">
        <v>7.202</v>
      </c>
      <c r="Y75" s="13"/>
      <c r="Z75" s="14" t="n">
        <v>39.925</v>
      </c>
      <c r="AA75" s="14" t="n">
        <v>49.836</v>
      </c>
      <c r="AB75" s="14" t="n">
        <v>23.106</v>
      </c>
      <c r="AC75" s="14" t="n">
        <v>33.332</v>
      </c>
      <c r="AD75" s="14" t="n">
        <v>56.438</v>
      </c>
      <c r="AE75" s="14" t="n">
        <v>7</v>
      </c>
      <c r="AF75" s="14" t="n">
        <v>7</v>
      </c>
      <c r="AG75" s="13" t="s">
        <v>448</v>
      </c>
      <c r="AH75" s="13" t="s">
        <v>43</v>
      </c>
      <c r="AI75" s="14" t="n">
        <v>0.272</v>
      </c>
    </row>
    <row r="76" customFormat="false" ht="15" hidden="false" customHeight="true" outlineLevel="0" collapsed="false">
      <c r="A76" s="13" t="s">
        <v>355</v>
      </c>
      <c r="B76" s="13" t="s">
        <v>230</v>
      </c>
      <c r="C76" s="13" t="s">
        <v>83</v>
      </c>
      <c r="D76" s="13" t="s">
        <v>42</v>
      </c>
      <c r="E76" s="14" t="n">
        <v>12.619</v>
      </c>
      <c r="F76" s="14" t="n">
        <v>1.158</v>
      </c>
      <c r="G76" s="14" t="n">
        <v>0.819</v>
      </c>
      <c r="H76" s="14" t="n">
        <v>0.004</v>
      </c>
      <c r="I76" s="13" t="s">
        <v>59</v>
      </c>
      <c r="J76" s="13"/>
      <c r="K76" s="13"/>
      <c r="L76" s="13"/>
      <c r="M76" s="13"/>
      <c r="N76" s="13"/>
      <c r="O76" s="13"/>
      <c r="P76" s="13" t="s">
        <v>60</v>
      </c>
      <c r="Q76" s="13" t="s">
        <v>106</v>
      </c>
      <c r="R76" s="14" t="n">
        <v>1.019</v>
      </c>
      <c r="S76" s="14" t="n">
        <v>1.144</v>
      </c>
      <c r="T76" s="13" t="s">
        <v>227</v>
      </c>
      <c r="U76" s="14" t="n">
        <v>1</v>
      </c>
      <c r="V76" s="14" t="n">
        <v>2.582</v>
      </c>
      <c r="W76" s="14" t="n">
        <v>1.039</v>
      </c>
      <c r="X76" s="14" t="n">
        <v>8.21</v>
      </c>
      <c r="Y76" s="13"/>
      <c r="Z76" s="14" t="n">
        <v>66.624</v>
      </c>
      <c r="AA76" s="14" t="n">
        <v>66.829</v>
      </c>
      <c r="AB76" s="14" t="n">
        <v>44.574</v>
      </c>
      <c r="AC76" s="14" t="n">
        <v>33.511</v>
      </c>
      <c r="AD76" s="14" t="n">
        <v>78.085</v>
      </c>
      <c r="AE76" s="14" t="n">
        <v>8</v>
      </c>
      <c r="AF76" s="14" t="n">
        <v>7</v>
      </c>
      <c r="AG76" s="13"/>
      <c r="AH76" s="13" t="s">
        <v>43</v>
      </c>
      <c r="AI76" s="14" t="n">
        <v>0.241</v>
      </c>
    </row>
    <row r="77" customFormat="false" ht="15" hidden="false" customHeight="true" outlineLevel="0" collapsed="false">
      <c r="A77" s="13" t="s">
        <v>359</v>
      </c>
      <c r="B77" s="13" t="s">
        <v>230</v>
      </c>
      <c r="C77" s="13" t="s">
        <v>83</v>
      </c>
      <c r="D77" s="13" t="s">
        <v>42</v>
      </c>
      <c r="E77" s="14" t="n">
        <v>18.52</v>
      </c>
      <c r="F77" s="14" t="n">
        <v>1.221</v>
      </c>
      <c r="G77" s="14" t="n">
        <v>0.781</v>
      </c>
      <c r="H77" s="14" t="n">
        <v>0.004</v>
      </c>
      <c r="I77" s="13" t="s">
        <v>59</v>
      </c>
      <c r="J77" s="14" t="n">
        <v>0.07</v>
      </c>
      <c r="K77" s="14" t="n">
        <v>0.124</v>
      </c>
      <c r="L77" s="13" t="s">
        <v>58</v>
      </c>
      <c r="M77" s="14" t="n">
        <v>2.041</v>
      </c>
      <c r="N77" s="14" t="n">
        <v>0</v>
      </c>
      <c r="O77" s="14" t="n">
        <v>34.179</v>
      </c>
      <c r="P77" s="13" t="s">
        <v>60</v>
      </c>
      <c r="Q77" s="13" t="s">
        <v>58</v>
      </c>
      <c r="R77" s="14" t="n">
        <v>10.361</v>
      </c>
      <c r="S77" s="14" t="n">
        <v>0.108</v>
      </c>
      <c r="T77" s="13" t="s">
        <v>361</v>
      </c>
      <c r="U77" s="14" t="n">
        <v>1</v>
      </c>
      <c r="V77" s="14" t="n">
        <v>2.839</v>
      </c>
      <c r="W77" s="14" t="n">
        <v>1.071</v>
      </c>
      <c r="X77" s="14" t="n">
        <v>6.795</v>
      </c>
      <c r="Y77" s="13"/>
      <c r="Z77" s="14" t="n">
        <v>23.672</v>
      </c>
      <c r="AA77" s="14" t="n">
        <v>38.81</v>
      </c>
      <c r="AB77" s="14" t="n">
        <v>15.656</v>
      </c>
      <c r="AC77" s="14" t="n">
        <v>25.315</v>
      </c>
      <c r="AD77" s="14" t="n">
        <v>40.971</v>
      </c>
      <c r="AE77" s="14" t="n">
        <v>5</v>
      </c>
      <c r="AF77" s="14" t="n">
        <v>4</v>
      </c>
      <c r="AG77" s="13" t="s">
        <v>448</v>
      </c>
      <c r="AH77" s="13" t="s">
        <v>43</v>
      </c>
      <c r="AI77" s="14" t="n">
        <v>0.259</v>
      </c>
    </row>
    <row r="78" customFormat="false" ht="15" hidden="false" customHeight="true" outlineLevel="0" collapsed="false">
      <c r="A78" s="13" t="s">
        <v>363</v>
      </c>
      <c r="B78" s="13" t="s">
        <v>230</v>
      </c>
      <c r="C78" s="13" t="s">
        <v>150</v>
      </c>
      <c r="D78" s="13" t="s">
        <v>42</v>
      </c>
      <c r="E78" s="14" t="n">
        <v>14.874</v>
      </c>
      <c r="F78" s="14" t="n">
        <v>1.141</v>
      </c>
      <c r="G78" s="14" t="n">
        <v>2.289</v>
      </c>
      <c r="H78" s="14" t="n">
        <v>1.1</v>
      </c>
      <c r="I78" s="13" t="s">
        <v>100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4" t="n">
        <v>2</v>
      </c>
      <c r="AF78" s="14" t="n">
        <v>8</v>
      </c>
      <c r="AG78" s="13"/>
      <c r="AH78" s="13" t="s">
        <v>43</v>
      </c>
      <c r="AI78" s="14" t="n">
        <v>0.226</v>
      </c>
    </row>
    <row r="79" customFormat="false" ht="15" hidden="false" customHeight="true" outlineLevel="0" collapsed="false">
      <c r="A79" s="13" t="s">
        <v>366</v>
      </c>
      <c r="B79" s="13" t="s">
        <v>230</v>
      </c>
      <c r="C79" s="13" t="s">
        <v>38</v>
      </c>
      <c r="D79" s="13" t="s">
        <v>42</v>
      </c>
      <c r="E79" s="13"/>
      <c r="F79" s="14" t="n">
        <v>1.245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4" t="n">
        <v>0</v>
      </c>
      <c r="AF79" s="14" t="n">
        <v>1</v>
      </c>
      <c r="AG79" s="13"/>
      <c r="AH79" s="13" t="s">
        <v>43</v>
      </c>
      <c r="AI79" s="14" t="n">
        <v>0.148</v>
      </c>
    </row>
    <row r="80" customFormat="false" ht="15" hidden="false" customHeight="true" outlineLevel="0" collapsed="false">
      <c r="A80" s="13" t="s">
        <v>370</v>
      </c>
      <c r="B80" s="13" t="s">
        <v>230</v>
      </c>
      <c r="C80" s="13" t="s">
        <v>47</v>
      </c>
      <c r="D80" s="13" t="s">
        <v>42</v>
      </c>
      <c r="E80" s="13"/>
      <c r="F80" s="14" t="n">
        <v>1.114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4" t="n">
        <v>0</v>
      </c>
      <c r="AF80" s="14" t="n">
        <v>1</v>
      </c>
      <c r="AG80" s="13"/>
      <c r="AH80" s="13" t="s">
        <v>43</v>
      </c>
      <c r="AI80" s="14" t="n">
        <v>1.206</v>
      </c>
    </row>
    <row r="81" customFormat="false" ht="15" hidden="false" customHeight="true" outlineLevel="0" collapsed="false">
      <c r="A81" s="13" t="s">
        <v>373</v>
      </c>
      <c r="B81" s="13" t="s">
        <v>230</v>
      </c>
      <c r="C81" s="13" t="s">
        <v>54</v>
      </c>
      <c r="D81" s="13" t="s">
        <v>42</v>
      </c>
      <c r="E81" s="14" t="n">
        <v>2.314</v>
      </c>
      <c r="F81" s="14" t="n">
        <v>1.275</v>
      </c>
      <c r="G81" s="14" t="n">
        <v>1.279</v>
      </c>
      <c r="H81" s="14" t="n">
        <v>0.004</v>
      </c>
      <c r="I81" s="13" t="s">
        <v>59</v>
      </c>
      <c r="J81" s="14" t="n">
        <v>0.516</v>
      </c>
      <c r="K81" s="14" t="n">
        <v>0.379</v>
      </c>
      <c r="L81" s="13" t="s">
        <v>58</v>
      </c>
      <c r="M81" s="14" t="n">
        <v>1.583</v>
      </c>
      <c r="N81" s="14" t="n">
        <v>0</v>
      </c>
      <c r="O81" s="14" t="n">
        <v>192.778</v>
      </c>
      <c r="P81" s="13" t="s">
        <v>60</v>
      </c>
      <c r="Q81" s="13" t="s">
        <v>58</v>
      </c>
      <c r="R81" s="14" t="n">
        <v>0.606</v>
      </c>
      <c r="S81" s="14" t="n">
        <v>0.12</v>
      </c>
      <c r="T81" s="13" t="s">
        <v>376</v>
      </c>
      <c r="U81" s="14" t="n">
        <v>1</v>
      </c>
      <c r="V81" s="14" t="n">
        <v>2.592</v>
      </c>
      <c r="W81" s="14" t="n">
        <v>1.032</v>
      </c>
      <c r="X81" s="14" t="n">
        <v>8.401</v>
      </c>
      <c r="Y81" s="13"/>
      <c r="Z81" s="14" t="n">
        <v>34.136</v>
      </c>
      <c r="AA81" s="14" t="n">
        <v>29.625</v>
      </c>
      <c r="AB81" s="14" t="n">
        <v>20.167</v>
      </c>
      <c r="AC81" s="14" t="n">
        <v>15.008</v>
      </c>
      <c r="AD81" s="14" t="n">
        <v>35.175</v>
      </c>
      <c r="AE81" s="14" t="n">
        <v>3</v>
      </c>
      <c r="AF81" s="14" t="n">
        <v>7</v>
      </c>
      <c r="AG81" s="13" t="s">
        <v>448</v>
      </c>
      <c r="AH81" s="13" t="s">
        <v>43</v>
      </c>
      <c r="AI81" s="14" t="n">
        <v>1.196</v>
      </c>
    </row>
    <row r="82" customFormat="false" ht="15" hidden="false" customHeight="true" outlineLevel="0" collapsed="false">
      <c r="A82" s="13" t="s">
        <v>379</v>
      </c>
      <c r="B82" s="13" t="s">
        <v>380</v>
      </c>
      <c r="C82" s="13" t="s">
        <v>38</v>
      </c>
      <c r="D82" s="13" t="s">
        <v>42</v>
      </c>
      <c r="E82" s="13"/>
      <c r="F82" s="14" t="n">
        <v>1.204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4" t="n">
        <v>0</v>
      </c>
      <c r="AF82" s="14" t="n">
        <v>1</v>
      </c>
      <c r="AG82" s="13"/>
      <c r="AH82" s="13" t="s">
        <v>43</v>
      </c>
      <c r="AI82" s="14" t="n">
        <v>0.129</v>
      </c>
    </row>
    <row r="83" customFormat="false" ht="15" hidden="false" customHeight="true" outlineLevel="0" collapsed="false">
      <c r="A83" s="13" t="s">
        <v>383</v>
      </c>
      <c r="B83" s="13" t="s">
        <v>380</v>
      </c>
      <c r="C83" s="13" t="s">
        <v>47</v>
      </c>
      <c r="D83" s="13" t="s">
        <v>42</v>
      </c>
      <c r="E83" s="13"/>
      <c r="F83" s="14" t="n">
        <v>1.279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4" t="n">
        <v>0</v>
      </c>
      <c r="AF83" s="14" t="n">
        <v>1</v>
      </c>
      <c r="AG83" s="13"/>
      <c r="AH83" s="13" t="s">
        <v>43</v>
      </c>
      <c r="AI83" s="14" t="n">
        <v>0.135</v>
      </c>
    </row>
    <row r="84" customFormat="false" ht="15" hidden="false" customHeight="true" outlineLevel="0" collapsed="false">
      <c r="A84" s="13" t="s">
        <v>387</v>
      </c>
      <c r="B84" s="13" t="s">
        <v>380</v>
      </c>
      <c r="C84" s="13" t="s">
        <v>67</v>
      </c>
      <c r="D84" s="13" t="s">
        <v>42</v>
      </c>
      <c r="E84" s="14" t="n">
        <v>109.268</v>
      </c>
      <c r="F84" s="14" t="n">
        <v>1.267</v>
      </c>
      <c r="G84" s="14" t="n">
        <v>1.276</v>
      </c>
      <c r="H84" s="14" t="n">
        <v>0.009</v>
      </c>
      <c r="I84" s="13" t="s">
        <v>59</v>
      </c>
      <c r="J84" s="14" t="n">
        <v>107.682</v>
      </c>
      <c r="K84" s="14" t="n">
        <v>0.197</v>
      </c>
      <c r="L84" s="13" t="s">
        <v>58</v>
      </c>
      <c r="M84" s="14" t="n">
        <v>1.457</v>
      </c>
      <c r="N84" s="14" t="n">
        <v>0</v>
      </c>
      <c r="O84" s="14" t="n">
        <v>141.814</v>
      </c>
      <c r="P84" s="13" t="s">
        <v>60</v>
      </c>
      <c r="Q84" s="13" t="s">
        <v>58</v>
      </c>
      <c r="R84" s="14" t="n">
        <v>0.592</v>
      </c>
      <c r="S84" s="14" t="n">
        <v>0.101</v>
      </c>
      <c r="T84" s="13" t="s">
        <v>165</v>
      </c>
      <c r="U84" s="14" t="n">
        <v>1</v>
      </c>
      <c r="V84" s="14" t="n">
        <v>2.583</v>
      </c>
      <c r="W84" s="14" t="n">
        <v>1.046</v>
      </c>
      <c r="X84" s="14" t="n">
        <v>9.615</v>
      </c>
      <c r="Y84" s="13"/>
      <c r="Z84" s="14" t="n">
        <v>29.92</v>
      </c>
      <c r="AA84" s="14" t="n">
        <v>131.656</v>
      </c>
      <c r="AB84" s="14" t="n">
        <v>9.569</v>
      </c>
      <c r="AC84" s="14" t="n">
        <v>128.352</v>
      </c>
      <c r="AD84" s="14" t="n">
        <v>137.921</v>
      </c>
      <c r="AE84" s="14" t="n">
        <v>9</v>
      </c>
      <c r="AF84" s="14" t="n">
        <v>13</v>
      </c>
      <c r="AG84" s="13" t="s">
        <v>448</v>
      </c>
      <c r="AH84" s="13" t="s">
        <v>43</v>
      </c>
      <c r="AI84" s="14" t="n">
        <v>0.205</v>
      </c>
    </row>
    <row r="85" customFormat="false" ht="15" hidden="false" customHeight="true" outlineLevel="0" collapsed="false">
      <c r="A85" s="13" t="s">
        <v>390</v>
      </c>
      <c r="B85" s="13" t="s">
        <v>380</v>
      </c>
      <c r="C85" s="13" t="s">
        <v>67</v>
      </c>
      <c r="D85" s="13" t="s">
        <v>42</v>
      </c>
      <c r="E85" s="14" t="n">
        <v>6.839</v>
      </c>
      <c r="F85" s="14" t="n">
        <v>0.926</v>
      </c>
      <c r="G85" s="13"/>
      <c r="H85" s="14" t="n">
        <v>5.559</v>
      </c>
      <c r="I85" s="13" t="s">
        <v>100</v>
      </c>
      <c r="J85" s="14" t="n">
        <v>0.169</v>
      </c>
      <c r="K85" s="14" t="n">
        <v>0.12</v>
      </c>
      <c r="L85" s="13" t="s">
        <v>58</v>
      </c>
      <c r="M85" s="14" t="n">
        <v>0.836</v>
      </c>
      <c r="N85" s="14" t="n">
        <v>0</v>
      </c>
      <c r="O85" s="14" t="n">
        <v>59.175</v>
      </c>
      <c r="P85" s="13" t="s">
        <v>60</v>
      </c>
      <c r="Q85" s="13" t="s">
        <v>58</v>
      </c>
      <c r="R85" s="14" t="n">
        <v>0.437</v>
      </c>
      <c r="S85" s="14" t="n">
        <v>0.088</v>
      </c>
      <c r="T85" s="13" t="s">
        <v>392</v>
      </c>
      <c r="U85" s="14" t="n">
        <v>1</v>
      </c>
      <c r="V85" s="14" t="n">
        <v>2.622</v>
      </c>
      <c r="W85" s="14" t="n">
        <v>1.009</v>
      </c>
      <c r="X85" s="14" t="n">
        <v>11.458</v>
      </c>
      <c r="Y85" s="13"/>
      <c r="Z85" s="14" t="n">
        <v>29.26</v>
      </c>
      <c r="AA85" s="14" t="n">
        <v>31.679</v>
      </c>
      <c r="AB85" s="14" t="n">
        <v>11.452</v>
      </c>
      <c r="AC85" s="14" t="n">
        <v>26.707</v>
      </c>
      <c r="AD85" s="14" t="n">
        <v>38.159</v>
      </c>
      <c r="AE85" s="14" t="n">
        <v>2</v>
      </c>
      <c r="AF85" s="14" t="n">
        <v>4</v>
      </c>
      <c r="AG85" s="13" t="s">
        <v>448</v>
      </c>
      <c r="AH85" s="13" t="s">
        <v>43</v>
      </c>
      <c r="AI85" s="14" t="n">
        <v>0.241</v>
      </c>
    </row>
    <row r="86" customFormat="false" ht="15" hidden="false" customHeight="true" outlineLevel="0" collapsed="false">
      <c r="A86" s="13" t="s">
        <v>395</v>
      </c>
      <c r="B86" s="13" t="s">
        <v>380</v>
      </c>
      <c r="C86" s="13" t="s">
        <v>76</v>
      </c>
      <c r="D86" s="13" t="s">
        <v>42</v>
      </c>
      <c r="E86" s="14" t="n">
        <v>31.595</v>
      </c>
      <c r="F86" s="14" t="n">
        <v>1.674</v>
      </c>
      <c r="G86" s="14" t="n">
        <v>1.653</v>
      </c>
      <c r="H86" s="14" t="n">
        <v>0.009</v>
      </c>
      <c r="I86" s="13" t="s">
        <v>59</v>
      </c>
      <c r="J86" s="14" t="n">
        <v>20.416</v>
      </c>
      <c r="K86" s="14" t="n">
        <v>0.284</v>
      </c>
      <c r="L86" s="13" t="s">
        <v>58</v>
      </c>
      <c r="M86" s="14" t="n">
        <v>0.776</v>
      </c>
      <c r="N86" s="14" t="n">
        <v>0</v>
      </c>
      <c r="O86" s="14" t="n">
        <v>1347.172</v>
      </c>
      <c r="P86" s="13" t="s">
        <v>60</v>
      </c>
      <c r="Q86" s="13" t="s">
        <v>106</v>
      </c>
      <c r="R86" s="14" t="n">
        <v>0.709</v>
      </c>
      <c r="S86" s="14" t="n">
        <v>0.822</v>
      </c>
      <c r="T86" s="13" t="s">
        <v>61</v>
      </c>
      <c r="U86" s="14" t="n">
        <v>1</v>
      </c>
      <c r="V86" s="14" t="n">
        <v>2.594</v>
      </c>
      <c r="W86" s="14" t="n">
        <v>1.025</v>
      </c>
      <c r="X86" s="14" t="n">
        <v>10.143</v>
      </c>
      <c r="Y86" s="13"/>
      <c r="Z86" s="14" t="n">
        <v>50.13</v>
      </c>
      <c r="AA86" s="14" t="n">
        <v>66.269</v>
      </c>
      <c r="AB86" s="14" t="n">
        <v>36.509</v>
      </c>
      <c r="AC86" s="14" t="n">
        <v>43.542</v>
      </c>
      <c r="AD86" s="14" t="n">
        <v>80.051</v>
      </c>
      <c r="AE86" s="14" t="n">
        <v>7</v>
      </c>
      <c r="AF86" s="14" t="n">
        <v>7</v>
      </c>
      <c r="AG86" s="13" t="s">
        <v>448</v>
      </c>
      <c r="AH86" s="13" t="s">
        <v>43</v>
      </c>
      <c r="AI86" s="14" t="n">
        <v>0.254</v>
      </c>
    </row>
    <row r="87" customFormat="false" ht="15" hidden="false" customHeight="true" outlineLevel="0" collapsed="false">
      <c r="A87" s="13" t="s">
        <v>398</v>
      </c>
      <c r="B87" s="13" t="s">
        <v>380</v>
      </c>
      <c r="C87" s="13" t="s">
        <v>83</v>
      </c>
      <c r="D87" s="13" t="s">
        <v>42</v>
      </c>
      <c r="E87" s="14" t="n">
        <v>1.939</v>
      </c>
      <c r="F87" s="14" t="n">
        <v>1.488</v>
      </c>
      <c r="G87" s="14" t="n">
        <v>1.501</v>
      </c>
      <c r="H87" s="14" t="n">
        <v>0.013</v>
      </c>
      <c r="I87" s="13" t="s">
        <v>59</v>
      </c>
      <c r="J87" s="14" t="n">
        <v>0.191</v>
      </c>
      <c r="K87" s="14" t="n">
        <v>0.134</v>
      </c>
      <c r="L87" s="13" t="s">
        <v>58</v>
      </c>
      <c r="M87" s="14" t="n">
        <v>1.125</v>
      </c>
      <c r="N87" s="14" t="n">
        <v>0</v>
      </c>
      <c r="O87" s="14" t="n">
        <v>116.277</v>
      </c>
      <c r="P87" s="13" t="s">
        <v>60</v>
      </c>
      <c r="Q87" s="13" t="s">
        <v>58</v>
      </c>
      <c r="R87" s="14" t="n">
        <v>1.819</v>
      </c>
      <c r="S87" s="14" t="n">
        <v>0.107</v>
      </c>
      <c r="T87" s="13" t="s">
        <v>399</v>
      </c>
      <c r="U87" s="14" t="n">
        <v>1</v>
      </c>
      <c r="V87" s="14" t="n">
        <v>2.618</v>
      </c>
      <c r="W87" s="14" t="n">
        <v>1.003</v>
      </c>
      <c r="X87" s="14" t="n">
        <v>7.447</v>
      </c>
      <c r="Y87" s="13"/>
      <c r="Z87" s="14" t="n">
        <v>38.271</v>
      </c>
      <c r="AA87" s="14" t="n">
        <v>29.235</v>
      </c>
      <c r="AB87" s="14" t="n">
        <v>25.554</v>
      </c>
      <c r="AC87" s="14" t="n">
        <v>13.168</v>
      </c>
      <c r="AD87" s="14" t="n">
        <v>38.722</v>
      </c>
      <c r="AE87" s="14" t="n">
        <v>5</v>
      </c>
      <c r="AF87" s="14" t="n">
        <v>4</v>
      </c>
      <c r="AG87" s="13" t="s">
        <v>448</v>
      </c>
      <c r="AH87" s="13" t="s">
        <v>43</v>
      </c>
      <c r="AI87" s="14" t="n">
        <v>1.253</v>
      </c>
    </row>
    <row r="88" customFormat="false" ht="15" hidden="false" customHeight="true" outlineLevel="0" collapsed="false">
      <c r="A88" s="13" t="s">
        <v>401</v>
      </c>
      <c r="B88" s="13" t="s">
        <v>380</v>
      </c>
      <c r="C88" s="13" t="s">
        <v>150</v>
      </c>
      <c r="D88" s="13" t="s">
        <v>42</v>
      </c>
      <c r="E88" s="14" t="n">
        <v>4.534</v>
      </c>
      <c r="F88" s="14" t="n">
        <v>1.613</v>
      </c>
      <c r="G88" s="14" t="n">
        <v>4.265</v>
      </c>
      <c r="H88" s="14" t="n">
        <v>2.652</v>
      </c>
      <c r="I88" s="13" t="s">
        <v>100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4" t="n">
        <v>0</v>
      </c>
      <c r="AF88" s="14" t="n">
        <v>4</v>
      </c>
      <c r="AG88" s="13"/>
      <c r="AH88" s="13" t="s">
        <v>43</v>
      </c>
      <c r="AI88" s="14" t="n">
        <v>1.162</v>
      </c>
    </row>
    <row r="89" customFormat="false" ht="15" hidden="false" customHeight="true" outlineLevel="0" collapsed="false">
      <c r="A89" s="13" t="s">
        <v>404</v>
      </c>
      <c r="B89" s="13" t="s">
        <v>380</v>
      </c>
      <c r="C89" s="13" t="s">
        <v>38</v>
      </c>
      <c r="D89" s="13" t="s">
        <v>42</v>
      </c>
      <c r="E89" s="13"/>
      <c r="F89" s="14" t="n">
        <v>1.745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4" t="n">
        <v>0</v>
      </c>
      <c r="AF89" s="14" t="n">
        <v>1</v>
      </c>
      <c r="AG89" s="13"/>
      <c r="AH89" s="13" t="s">
        <v>43</v>
      </c>
      <c r="AI89" s="14" t="n">
        <v>0.961</v>
      </c>
    </row>
    <row r="90" customFormat="false" ht="15" hidden="false" customHeight="true" outlineLevel="0" collapsed="false">
      <c r="A90" s="13" t="s">
        <v>407</v>
      </c>
      <c r="B90" s="13" t="s">
        <v>380</v>
      </c>
      <c r="C90" s="13" t="s">
        <v>54</v>
      </c>
      <c r="D90" s="13" t="s">
        <v>42</v>
      </c>
      <c r="E90" s="14" t="n">
        <v>2.167</v>
      </c>
      <c r="F90" s="14" t="n">
        <v>1.525</v>
      </c>
      <c r="G90" s="14" t="n">
        <v>1.54</v>
      </c>
      <c r="H90" s="14" t="n">
        <v>0.015</v>
      </c>
      <c r="I90" s="13" t="s">
        <v>59</v>
      </c>
      <c r="J90" s="14" t="n">
        <v>0.307</v>
      </c>
      <c r="K90" s="14" t="n">
        <v>0.209</v>
      </c>
      <c r="L90" s="13" t="s">
        <v>58</v>
      </c>
      <c r="M90" s="14" t="n">
        <v>2.864</v>
      </c>
      <c r="N90" s="14" t="n">
        <v>0</v>
      </c>
      <c r="O90" s="14" t="n">
        <v>806.65</v>
      </c>
      <c r="P90" s="13" t="s">
        <v>60</v>
      </c>
      <c r="Q90" s="13" t="s">
        <v>58</v>
      </c>
      <c r="R90" s="14" t="n">
        <v>0.73</v>
      </c>
      <c r="S90" s="14" t="n">
        <v>0.108</v>
      </c>
      <c r="T90" s="13" t="s">
        <v>408</v>
      </c>
      <c r="U90" s="14" t="n">
        <v>1</v>
      </c>
      <c r="V90" s="14" t="n">
        <v>2.709</v>
      </c>
      <c r="W90" s="14" t="n">
        <v>0.919</v>
      </c>
      <c r="X90" s="14" t="n">
        <v>5.839</v>
      </c>
      <c r="Y90" s="13"/>
      <c r="Z90" s="14" t="n">
        <v>47.391</v>
      </c>
      <c r="AA90" s="14" t="n">
        <v>46.175</v>
      </c>
      <c r="AB90" s="14" t="n">
        <v>27.487</v>
      </c>
      <c r="AC90" s="14" t="n">
        <v>20.546</v>
      </c>
      <c r="AD90" s="14" t="n">
        <v>48.033</v>
      </c>
      <c r="AE90" s="14" t="n">
        <v>5</v>
      </c>
      <c r="AF90" s="14" t="n">
        <v>5</v>
      </c>
      <c r="AG90" s="13" t="s">
        <v>448</v>
      </c>
      <c r="AH90" s="13" t="s">
        <v>43</v>
      </c>
      <c r="AI90" s="14" t="n">
        <v>0.271</v>
      </c>
    </row>
    <row r="91" customFormat="false" ht="15" hidden="false" customHeight="true" outlineLevel="0" collapsed="false">
      <c r="A91" s="13" t="s">
        <v>410</v>
      </c>
      <c r="B91" s="13" t="s">
        <v>380</v>
      </c>
      <c r="C91" s="13" t="s">
        <v>47</v>
      </c>
      <c r="D91" s="13" t="s">
        <v>42</v>
      </c>
      <c r="E91" s="13"/>
      <c r="F91" s="14" t="n">
        <v>1.966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4" t="n">
        <v>3</v>
      </c>
      <c r="AF91" s="14" t="n">
        <v>5</v>
      </c>
      <c r="AG91" s="13"/>
      <c r="AH91" s="13" t="s">
        <v>43</v>
      </c>
      <c r="AI91" s="14" t="n">
        <v>1.142</v>
      </c>
    </row>
    <row r="92" customFormat="false" ht="15" hidden="false" customHeight="false" outlineLevel="0" collapsed="false">
      <c r="A92" s="15" t="s">
        <v>415</v>
      </c>
      <c r="B92" s="15" t="s">
        <v>380</v>
      </c>
      <c r="C92" s="15" t="s">
        <v>54</v>
      </c>
      <c r="D92" s="15" t="s">
        <v>42</v>
      </c>
      <c r="E92" s="16" t="n">
        <v>4.55</v>
      </c>
      <c r="F92" s="16" t="n">
        <v>1.733</v>
      </c>
      <c r="G92" s="16" t="n">
        <v>2.921</v>
      </c>
      <c r="H92" s="16" t="n">
        <v>1.188</v>
      </c>
      <c r="I92" s="15" t="s">
        <v>100</v>
      </c>
      <c r="J92" s="16" t="n">
        <v>1.296</v>
      </c>
      <c r="K92" s="16" t="n">
        <v>0.22</v>
      </c>
      <c r="L92" s="15" t="s">
        <v>58</v>
      </c>
      <c r="M92" s="16" t="n">
        <v>6.255</v>
      </c>
      <c r="N92" s="16" t="n">
        <v>0</v>
      </c>
      <c r="O92" s="16" t="n">
        <v>348.28</v>
      </c>
      <c r="P92" s="15" t="s">
        <v>60</v>
      </c>
      <c r="Q92" s="15" t="s">
        <v>58</v>
      </c>
      <c r="R92" s="16" t="n">
        <v>0.713</v>
      </c>
      <c r="S92" s="16" t="n">
        <v>0.107</v>
      </c>
      <c r="T92" s="15" t="s">
        <v>139</v>
      </c>
      <c r="U92" s="16" t="n">
        <v>1</v>
      </c>
      <c r="V92" s="16" t="n">
        <v>2.637</v>
      </c>
      <c r="W92" s="16" t="n">
        <v>0.984</v>
      </c>
      <c r="X92" s="16" t="n">
        <v>10.477</v>
      </c>
      <c r="Y92" s="15"/>
      <c r="Z92" s="16" t="n">
        <v>44.827</v>
      </c>
      <c r="AA92" s="16" t="n">
        <v>33.702</v>
      </c>
      <c r="AB92" s="16" t="n">
        <v>25.299</v>
      </c>
      <c r="AC92" s="16" t="n">
        <v>22.345</v>
      </c>
      <c r="AD92" s="16" t="n">
        <v>47.644</v>
      </c>
      <c r="AE92" s="16" t="n">
        <v>4</v>
      </c>
      <c r="AF92" s="16" t="n">
        <v>5</v>
      </c>
      <c r="AG92" s="15" t="s">
        <v>448</v>
      </c>
      <c r="AH92" s="15" t="s">
        <v>43</v>
      </c>
      <c r="AI92" s="16" t="n">
        <v>0.268</v>
      </c>
    </row>
  </sheetData>
  <autoFilter ref="A2:AI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1"/>
    <col collapsed="false" customWidth="true" hidden="false" outlineLevel="0" max="4" min="4" style="1" width="14"/>
    <col collapsed="false" customWidth="true" hidden="false" outlineLevel="0" max="5" min="5" style="1" width="90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452</v>
      </c>
      <c r="D1" s="2" t="s">
        <v>453</v>
      </c>
      <c r="E1" s="2" t="s">
        <v>454</v>
      </c>
    </row>
    <row r="2" customFormat="false" ht="15" hidden="false" customHeight="true" outlineLevel="0" collapsed="false">
      <c r="A2" s="4" t="s">
        <v>35</v>
      </c>
      <c r="B2" s="4" t="s">
        <v>36</v>
      </c>
      <c r="C2" s="6" t="n">
        <v>4.584</v>
      </c>
      <c r="D2" s="17" t="s">
        <v>455</v>
      </c>
      <c r="E2" s="18" t="s">
        <v>41</v>
      </c>
    </row>
    <row r="3" customFormat="false" ht="15" hidden="false" customHeight="true" outlineLevel="0" collapsed="false">
      <c r="A3" s="4" t="s">
        <v>35</v>
      </c>
      <c r="B3" s="4" t="s">
        <v>36</v>
      </c>
      <c r="C3" s="6" t="n">
        <v>5.974</v>
      </c>
      <c r="D3" s="4" t="s">
        <v>456</v>
      </c>
      <c r="E3" s="18" t="s">
        <v>457</v>
      </c>
    </row>
    <row r="4" customFormat="false" ht="15" hidden="false" customHeight="true" outlineLevel="0" collapsed="false">
      <c r="A4" s="4" t="s">
        <v>46</v>
      </c>
      <c r="B4" s="4" t="s">
        <v>36</v>
      </c>
      <c r="C4" s="6" t="n">
        <v>4.024</v>
      </c>
      <c r="D4" s="17" t="s">
        <v>455</v>
      </c>
      <c r="E4" s="18" t="s">
        <v>49</v>
      </c>
    </row>
    <row r="5" customFormat="false" ht="15" hidden="false" customHeight="true" outlineLevel="0" collapsed="false">
      <c r="A5" s="4" t="s">
        <v>46</v>
      </c>
      <c r="B5" s="4" t="s">
        <v>36</v>
      </c>
      <c r="C5" s="6" t="n">
        <v>5.266</v>
      </c>
      <c r="D5" s="4" t="s">
        <v>456</v>
      </c>
      <c r="E5" s="18" t="s">
        <v>458</v>
      </c>
    </row>
    <row r="6" customFormat="false" ht="15" hidden="false" customHeight="true" outlineLevel="0" collapsed="false">
      <c r="A6" s="4" t="s">
        <v>46</v>
      </c>
      <c r="B6" s="4" t="s">
        <v>36</v>
      </c>
      <c r="C6" s="6" t="n">
        <v>8.114</v>
      </c>
      <c r="D6" s="4" t="s">
        <v>456</v>
      </c>
      <c r="E6" s="18" t="s">
        <v>457</v>
      </c>
    </row>
    <row r="7" customFormat="false" ht="15" hidden="false" customHeight="true" outlineLevel="0" collapsed="false">
      <c r="A7" s="4" t="s">
        <v>46</v>
      </c>
      <c r="B7" s="4" t="s">
        <v>36</v>
      </c>
      <c r="C7" s="6" t="n">
        <v>13.78</v>
      </c>
      <c r="D7" s="4" t="s">
        <v>456</v>
      </c>
      <c r="E7" s="18" t="s">
        <v>459</v>
      </c>
    </row>
    <row r="8" customFormat="false" ht="15" hidden="false" customHeight="true" outlineLevel="0" collapsed="false">
      <c r="A8" s="4" t="s">
        <v>53</v>
      </c>
      <c r="B8" s="4" t="s">
        <v>36</v>
      </c>
      <c r="C8" s="6" t="n">
        <v>4.529</v>
      </c>
      <c r="D8" s="17" t="s">
        <v>455</v>
      </c>
      <c r="E8" s="18" t="s">
        <v>56</v>
      </c>
    </row>
    <row r="9" customFormat="false" ht="15" hidden="false" customHeight="true" outlineLevel="0" collapsed="false">
      <c r="A9" s="4" t="s">
        <v>53</v>
      </c>
      <c r="B9" s="4" t="s">
        <v>36</v>
      </c>
      <c r="C9" s="6" t="n">
        <v>4.54</v>
      </c>
      <c r="D9" s="4" t="s">
        <v>460</v>
      </c>
      <c r="E9" s="18" t="s">
        <v>461</v>
      </c>
    </row>
    <row r="10" customFormat="false" ht="15" hidden="false" customHeight="true" outlineLevel="0" collapsed="false">
      <c r="A10" s="4" t="s">
        <v>53</v>
      </c>
      <c r="B10" s="4" t="s">
        <v>36</v>
      </c>
      <c r="C10" s="6" t="n">
        <v>8.4</v>
      </c>
      <c r="D10" s="4" t="s">
        <v>456</v>
      </c>
      <c r="E10" s="18" t="s">
        <v>462</v>
      </c>
    </row>
    <row r="11" customFormat="false" ht="15" hidden="false" customHeight="true" outlineLevel="0" collapsed="false">
      <c r="A11" s="4" t="s">
        <v>53</v>
      </c>
      <c r="B11" s="4" t="s">
        <v>36</v>
      </c>
      <c r="C11" s="6" t="n">
        <v>13.984</v>
      </c>
      <c r="D11" s="4" t="s">
        <v>456</v>
      </c>
      <c r="E11" s="18" t="s">
        <v>463</v>
      </c>
    </row>
    <row r="12" customFormat="false" ht="15" hidden="false" customHeight="true" outlineLevel="0" collapsed="false">
      <c r="A12" s="4" t="s">
        <v>53</v>
      </c>
      <c r="B12" s="4" t="s">
        <v>36</v>
      </c>
      <c r="C12" s="6" t="n">
        <v>20.882</v>
      </c>
      <c r="D12" s="17" t="s">
        <v>455</v>
      </c>
      <c r="E12" s="18" t="s">
        <v>86</v>
      </c>
    </row>
    <row r="13" customFormat="false" ht="15" hidden="false" customHeight="true" outlineLevel="0" collapsed="false">
      <c r="A13" s="4" t="s">
        <v>53</v>
      </c>
      <c r="B13" s="4" t="s">
        <v>36</v>
      </c>
      <c r="C13" s="6" t="n">
        <v>20.9</v>
      </c>
      <c r="D13" s="4" t="s">
        <v>460</v>
      </c>
      <c r="E13" s="18" t="s">
        <v>57</v>
      </c>
    </row>
    <row r="14" customFormat="false" ht="15" hidden="false" customHeight="true" outlineLevel="0" collapsed="false">
      <c r="A14" s="4" t="s">
        <v>53</v>
      </c>
      <c r="B14" s="4" t="s">
        <v>36</v>
      </c>
      <c r="C14" s="6" t="n">
        <v>20.971</v>
      </c>
      <c r="D14" s="4" t="s">
        <v>456</v>
      </c>
      <c r="E14" s="18" t="s">
        <v>464</v>
      </c>
    </row>
    <row r="15" customFormat="false" ht="15" hidden="false" customHeight="true" outlineLevel="0" collapsed="false">
      <c r="A15" s="4" t="s">
        <v>53</v>
      </c>
      <c r="B15" s="4" t="s">
        <v>36</v>
      </c>
      <c r="C15" s="6" t="n">
        <v>26.04</v>
      </c>
      <c r="D15" s="4" t="s">
        <v>456</v>
      </c>
      <c r="E15" s="18" t="s">
        <v>465</v>
      </c>
    </row>
    <row r="16" customFormat="false" ht="15" hidden="false" customHeight="true" outlineLevel="0" collapsed="false">
      <c r="A16" s="4" t="s">
        <v>53</v>
      </c>
      <c r="B16" s="4" t="s">
        <v>36</v>
      </c>
      <c r="C16" s="6" t="n">
        <v>34.921</v>
      </c>
      <c r="D16" s="17" t="s">
        <v>455</v>
      </c>
      <c r="E16" s="18" t="s">
        <v>466</v>
      </c>
    </row>
    <row r="17" customFormat="false" ht="15" hidden="false" customHeight="true" outlineLevel="0" collapsed="false">
      <c r="A17" s="4" t="s">
        <v>53</v>
      </c>
      <c r="B17" s="4" t="s">
        <v>36</v>
      </c>
      <c r="C17" s="6" t="n">
        <v>34.988</v>
      </c>
      <c r="D17" s="4" t="s">
        <v>460</v>
      </c>
      <c r="E17" s="18" t="s">
        <v>467</v>
      </c>
    </row>
    <row r="18" customFormat="false" ht="15" hidden="false" customHeight="true" outlineLevel="0" collapsed="false">
      <c r="A18" s="4" t="s">
        <v>53</v>
      </c>
      <c r="B18" s="4" t="s">
        <v>36</v>
      </c>
      <c r="C18" s="6" t="n">
        <v>35.032</v>
      </c>
      <c r="D18" s="4" t="s">
        <v>456</v>
      </c>
      <c r="E18" s="18" t="s">
        <v>468</v>
      </c>
    </row>
    <row r="19" customFormat="false" ht="15" hidden="false" customHeight="true" outlineLevel="0" collapsed="false">
      <c r="A19" s="4" t="s">
        <v>53</v>
      </c>
      <c r="B19" s="4" t="s">
        <v>36</v>
      </c>
      <c r="C19" s="6" t="n">
        <v>38.779</v>
      </c>
      <c r="D19" s="4" t="s">
        <v>456</v>
      </c>
      <c r="E19" s="18" t="s">
        <v>469</v>
      </c>
    </row>
    <row r="20" customFormat="false" ht="15" hidden="false" customHeight="true" outlineLevel="0" collapsed="false">
      <c r="A20" s="4" t="s">
        <v>53</v>
      </c>
      <c r="B20" s="4" t="s">
        <v>36</v>
      </c>
      <c r="C20" s="6" t="n">
        <v>43.952</v>
      </c>
      <c r="D20" s="17" t="s">
        <v>455</v>
      </c>
      <c r="E20" s="18" t="s">
        <v>470</v>
      </c>
    </row>
    <row r="21" customFormat="false" ht="15" hidden="false" customHeight="true" outlineLevel="0" collapsed="false">
      <c r="A21" s="4" t="s">
        <v>53</v>
      </c>
      <c r="B21" s="4" t="s">
        <v>36</v>
      </c>
      <c r="C21" s="6" t="n">
        <v>44.002</v>
      </c>
      <c r="D21" s="4" t="s">
        <v>460</v>
      </c>
      <c r="E21" s="18" t="s">
        <v>471</v>
      </c>
    </row>
    <row r="22" customFormat="false" ht="15" hidden="false" customHeight="true" outlineLevel="0" collapsed="false">
      <c r="A22" s="4" t="s">
        <v>53</v>
      </c>
      <c r="B22" s="4" t="s">
        <v>36</v>
      </c>
      <c r="C22" s="6" t="n">
        <v>44.019</v>
      </c>
      <c r="D22" s="4" t="s">
        <v>456</v>
      </c>
      <c r="E22" s="18" t="s">
        <v>472</v>
      </c>
    </row>
    <row r="23" customFormat="false" ht="15" hidden="false" customHeight="true" outlineLevel="0" collapsed="false">
      <c r="A23" s="4" t="s">
        <v>53</v>
      </c>
      <c r="B23" s="4" t="s">
        <v>36</v>
      </c>
      <c r="C23" s="6" t="n">
        <v>49.626</v>
      </c>
      <c r="D23" s="4" t="s">
        <v>456</v>
      </c>
      <c r="E23" s="18" t="s">
        <v>473</v>
      </c>
    </row>
    <row r="24" customFormat="false" ht="15" hidden="false" customHeight="true" outlineLevel="0" collapsed="false">
      <c r="A24" s="4" t="s">
        <v>66</v>
      </c>
      <c r="B24" s="4" t="s">
        <v>36</v>
      </c>
      <c r="C24" s="6" t="n">
        <v>11.755</v>
      </c>
      <c r="D24" s="17" t="s">
        <v>455</v>
      </c>
      <c r="E24" s="18" t="s">
        <v>69</v>
      </c>
    </row>
    <row r="25" customFormat="false" ht="15" hidden="false" customHeight="true" outlineLevel="0" collapsed="false">
      <c r="A25" s="4" t="s">
        <v>66</v>
      </c>
      <c r="B25" s="4" t="s">
        <v>36</v>
      </c>
      <c r="C25" s="6" t="n">
        <v>11.761</v>
      </c>
      <c r="D25" s="4" t="s">
        <v>460</v>
      </c>
      <c r="E25" s="18" t="s">
        <v>474</v>
      </c>
    </row>
    <row r="26" customFormat="false" ht="15" hidden="false" customHeight="true" outlineLevel="0" collapsed="false">
      <c r="A26" s="4" t="s">
        <v>66</v>
      </c>
      <c r="B26" s="4" t="s">
        <v>36</v>
      </c>
      <c r="C26" s="6" t="n">
        <v>11.815</v>
      </c>
      <c r="D26" s="4" t="s">
        <v>456</v>
      </c>
      <c r="E26" s="18" t="s">
        <v>475</v>
      </c>
    </row>
    <row r="27" customFormat="false" ht="15" hidden="false" customHeight="true" outlineLevel="0" collapsed="false">
      <c r="A27" s="4" t="s">
        <v>66</v>
      </c>
      <c r="B27" s="4" t="s">
        <v>36</v>
      </c>
      <c r="C27" s="6" t="n">
        <v>20.618</v>
      </c>
      <c r="D27" s="17" t="s">
        <v>455</v>
      </c>
      <c r="E27" s="18" t="s">
        <v>476</v>
      </c>
    </row>
    <row r="28" customFormat="false" ht="15" hidden="false" customHeight="true" outlineLevel="0" collapsed="false">
      <c r="A28" s="4" t="s">
        <v>66</v>
      </c>
      <c r="B28" s="4" t="s">
        <v>36</v>
      </c>
      <c r="C28" s="6" t="n">
        <v>21.632</v>
      </c>
      <c r="D28" s="4" t="s">
        <v>460</v>
      </c>
      <c r="E28" s="18" t="s">
        <v>477</v>
      </c>
    </row>
    <row r="29" customFormat="false" ht="15" hidden="false" customHeight="true" outlineLevel="0" collapsed="false">
      <c r="A29" s="4" t="s">
        <v>66</v>
      </c>
      <c r="B29" s="4" t="s">
        <v>36</v>
      </c>
      <c r="C29" s="6" t="n">
        <v>21.687</v>
      </c>
      <c r="D29" s="4" t="s">
        <v>456</v>
      </c>
      <c r="E29" s="18" t="s">
        <v>478</v>
      </c>
    </row>
    <row r="30" customFormat="false" ht="15" hidden="false" customHeight="true" outlineLevel="0" collapsed="false">
      <c r="A30" s="4" t="s">
        <v>66</v>
      </c>
      <c r="B30" s="4" t="s">
        <v>36</v>
      </c>
      <c r="C30" s="6" t="n">
        <v>24.057</v>
      </c>
      <c r="D30" s="4" t="s">
        <v>456</v>
      </c>
      <c r="E30" s="18" t="s">
        <v>479</v>
      </c>
    </row>
    <row r="31" customFormat="false" ht="15" hidden="false" customHeight="true" outlineLevel="0" collapsed="false">
      <c r="A31" s="4" t="s">
        <v>66</v>
      </c>
      <c r="B31" s="4" t="s">
        <v>36</v>
      </c>
      <c r="C31" s="6" t="n">
        <v>27.467</v>
      </c>
      <c r="D31" s="4" t="s">
        <v>456</v>
      </c>
      <c r="E31" s="18" t="s">
        <v>480</v>
      </c>
    </row>
    <row r="32" customFormat="false" ht="15" hidden="false" customHeight="true" outlineLevel="0" collapsed="false">
      <c r="A32" s="4" t="s">
        <v>66</v>
      </c>
      <c r="B32" s="4" t="s">
        <v>36</v>
      </c>
      <c r="C32" s="6" t="n">
        <v>35.119</v>
      </c>
      <c r="D32" s="17" t="s">
        <v>455</v>
      </c>
      <c r="E32" s="18" t="s">
        <v>481</v>
      </c>
    </row>
    <row r="33" customFormat="false" ht="15" hidden="false" customHeight="true" outlineLevel="0" collapsed="false">
      <c r="A33" s="4" t="s">
        <v>66</v>
      </c>
      <c r="B33" s="4" t="s">
        <v>36</v>
      </c>
      <c r="C33" s="6" t="n">
        <v>35.125</v>
      </c>
      <c r="D33" s="4" t="s">
        <v>460</v>
      </c>
      <c r="E33" s="18" t="s">
        <v>71</v>
      </c>
    </row>
    <row r="34" customFormat="false" ht="15" hidden="false" customHeight="true" outlineLevel="0" collapsed="false">
      <c r="A34" s="4" t="s">
        <v>66</v>
      </c>
      <c r="B34" s="4" t="s">
        <v>36</v>
      </c>
      <c r="C34" s="6" t="n">
        <v>35.188</v>
      </c>
      <c r="D34" s="4" t="s">
        <v>456</v>
      </c>
      <c r="E34" s="18" t="s">
        <v>482</v>
      </c>
    </row>
    <row r="35" customFormat="false" ht="15" hidden="false" customHeight="true" outlineLevel="0" collapsed="false">
      <c r="A35" s="4" t="s">
        <v>66</v>
      </c>
      <c r="B35" s="4" t="s">
        <v>36</v>
      </c>
      <c r="C35" s="6" t="n">
        <v>38.412</v>
      </c>
      <c r="D35" s="4" t="s">
        <v>456</v>
      </c>
      <c r="E35" s="18" t="s">
        <v>483</v>
      </c>
    </row>
    <row r="36" customFormat="false" ht="15" hidden="false" customHeight="true" outlineLevel="0" collapsed="false">
      <c r="A36" s="4" t="s">
        <v>66</v>
      </c>
      <c r="B36" s="4" t="s">
        <v>36</v>
      </c>
      <c r="C36" s="6" t="n">
        <v>47.32</v>
      </c>
      <c r="D36" s="17" t="s">
        <v>455</v>
      </c>
      <c r="E36" s="18" t="s">
        <v>484</v>
      </c>
    </row>
    <row r="37" customFormat="false" ht="15" hidden="false" customHeight="true" outlineLevel="0" collapsed="false">
      <c r="A37" s="4" t="s">
        <v>66</v>
      </c>
      <c r="B37" s="4" t="s">
        <v>36</v>
      </c>
      <c r="C37" s="6" t="n">
        <v>47.325</v>
      </c>
      <c r="D37" s="4" t="s">
        <v>460</v>
      </c>
      <c r="E37" s="18" t="s">
        <v>467</v>
      </c>
    </row>
    <row r="38" customFormat="false" ht="15" hidden="false" customHeight="true" outlineLevel="0" collapsed="false">
      <c r="A38" s="4" t="s">
        <v>66</v>
      </c>
      <c r="B38" s="4" t="s">
        <v>36</v>
      </c>
      <c r="C38" s="6" t="n">
        <v>47.385</v>
      </c>
      <c r="D38" s="4" t="s">
        <v>456</v>
      </c>
      <c r="E38" s="18" t="s">
        <v>468</v>
      </c>
    </row>
    <row r="39" customFormat="false" ht="15" hidden="false" customHeight="true" outlineLevel="0" collapsed="false">
      <c r="A39" s="4" t="s">
        <v>66</v>
      </c>
      <c r="B39" s="4" t="s">
        <v>36</v>
      </c>
      <c r="C39" s="6" t="n">
        <v>50.963</v>
      </c>
      <c r="D39" s="4" t="s">
        <v>456</v>
      </c>
      <c r="E39" s="18" t="s">
        <v>469</v>
      </c>
    </row>
    <row r="40" customFormat="false" ht="15" hidden="false" customHeight="true" outlineLevel="0" collapsed="false">
      <c r="A40" s="4" t="s">
        <v>66</v>
      </c>
      <c r="B40" s="4" t="s">
        <v>36</v>
      </c>
      <c r="C40" s="6" t="n">
        <v>56.937</v>
      </c>
      <c r="D40" s="17" t="s">
        <v>455</v>
      </c>
      <c r="E40" s="18" t="s">
        <v>470</v>
      </c>
    </row>
    <row r="41" customFormat="false" ht="15" hidden="false" customHeight="true" outlineLevel="0" collapsed="false">
      <c r="A41" s="4" t="s">
        <v>66</v>
      </c>
      <c r="B41" s="4" t="s">
        <v>36</v>
      </c>
      <c r="C41" s="6" t="n">
        <v>56.949</v>
      </c>
      <c r="D41" s="4" t="s">
        <v>460</v>
      </c>
      <c r="E41" s="18" t="s">
        <v>471</v>
      </c>
    </row>
    <row r="42" customFormat="false" ht="15" hidden="false" customHeight="true" outlineLevel="0" collapsed="false">
      <c r="A42" s="4" t="s">
        <v>66</v>
      </c>
      <c r="B42" s="4" t="s">
        <v>36</v>
      </c>
      <c r="C42" s="6" t="n">
        <v>56.959</v>
      </c>
      <c r="D42" s="4" t="s">
        <v>456</v>
      </c>
      <c r="E42" s="18" t="s">
        <v>472</v>
      </c>
    </row>
    <row r="43" customFormat="false" ht="15" hidden="false" customHeight="true" outlineLevel="0" collapsed="false">
      <c r="A43" s="4" t="s">
        <v>66</v>
      </c>
      <c r="B43" s="4" t="s">
        <v>36</v>
      </c>
      <c r="C43" s="6" t="n">
        <v>61.32</v>
      </c>
      <c r="D43" s="4" t="s">
        <v>456</v>
      </c>
      <c r="E43" s="18" t="s">
        <v>473</v>
      </c>
    </row>
    <row r="44" customFormat="false" ht="15" hidden="false" customHeight="true" outlineLevel="0" collapsed="false">
      <c r="A44" s="4" t="s">
        <v>75</v>
      </c>
      <c r="B44" s="4" t="s">
        <v>36</v>
      </c>
      <c r="C44" s="6" t="n">
        <v>4.371</v>
      </c>
      <c r="D44" s="17" t="s">
        <v>455</v>
      </c>
      <c r="E44" s="18" t="s">
        <v>69</v>
      </c>
    </row>
    <row r="45" customFormat="false" ht="15" hidden="false" customHeight="true" outlineLevel="0" collapsed="false">
      <c r="A45" s="4" t="s">
        <v>75</v>
      </c>
      <c r="B45" s="4" t="s">
        <v>36</v>
      </c>
      <c r="C45" s="6" t="n">
        <v>4.377</v>
      </c>
      <c r="D45" s="4" t="s">
        <v>460</v>
      </c>
      <c r="E45" s="18" t="s">
        <v>474</v>
      </c>
    </row>
    <row r="46" customFormat="false" ht="15" hidden="false" customHeight="true" outlineLevel="0" collapsed="false">
      <c r="A46" s="4" t="s">
        <v>75</v>
      </c>
      <c r="B46" s="4" t="s">
        <v>36</v>
      </c>
      <c r="C46" s="6" t="n">
        <v>4.429</v>
      </c>
      <c r="D46" s="4" t="s">
        <v>456</v>
      </c>
      <c r="E46" s="18" t="s">
        <v>475</v>
      </c>
    </row>
    <row r="47" customFormat="false" ht="15" hidden="false" customHeight="true" outlineLevel="0" collapsed="false">
      <c r="A47" s="4" t="s">
        <v>75</v>
      </c>
      <c r="B47" s="4" t="s">
        <v>36</v>
      </c>
      <c r="C47" s="6" t="n">
        <v>13.509</v>
      </c>
      <c r="D47" s="4" t="s">
        <v>456</v>
      </c>
      <c r="E47" s="18" t="s">
        <v>479</v>
      </c>
    </row>
    <row r="48" customFormat="false" ht="15" hidden="false" customHeight="true" outlineLevel="0" collapsed="false">
      <c r="A48" s="4" t="s">
        <v>75</v>
      </c>
      <c r="B48" s="4" t="s">
        <v>36</v>
      </c>
      <c r="C48" s="6" t="n">
        <v>19.09</v>
      </c>
      <c r="D48" s="4" t="s">
        <v>456</v>
      </c>
      <c r="E48" s="18" t="s">
        <v>480</v>
      </c>
    </row>
    <row r="49" customFormat="false" ht="15" hidden="false" customHeight="true" outlineLevel="0" collapsed="false">
      <c r="A49" s="4" t="s">
        <v>75</v>
      </c>
      <c r="B49" s="4" t="s">
        <v>36</v>
      </c>
      <c r="C49" s="6" t="n">
        <v>26.437</v>
      </c>
      <c r="D49" s="17" t="s">
        <v>455</v>
      </c>
      <c r="E49" s="18" t="s">
        <v>86</v>
      </c>
    </row>
    <row r="50" customFormat="false" ht="15" hidden="false" customHeight="true" outlineLevel="0" collapsed="false">
      <c r="A50" s="4" t="s">
        <v>75</v>
      </c>
      <c r="B50" s="4" t="s">
        <v>36</v>
      </c>
      <c r="C50" s="6" t="n">
        <v>26.441</v>
      </c>
      <c r="D50" s="4" t="s">
        <v>460</v>
      </c>
      <c r="E50" s="18" t="s">
        <v>57</v>
      </c>
    </row>
    <row r="51" customFormat="false" ht="15" hidden="false" customHeight="true" outlineLevel="0" collapsed="false">
      <c r="A51" s="4" t="s">
        <v>75</v>
      </c>
      <c r="B51" s="4" t="s">
        <v>36</v>
      </c>
      <c r="C51" s="6" t="n">
        <v>26.464</v>
      </c>
      <c r="D51" s="4" t="s">
        <v>456</v>
      </c>
      <c r="E51" s="18" t="s">
        <v>464</v>
      </c>
    </row>
    <row r="52" customFormat="false" ht="15" hidden="false" customHeight="true" outlineLevel="0" collapsed="false">
      <c r="A52" s="4" t="s">
        <v>75</v>
      </c>
      <c r="B52" s="4" t="s">
        <v>36</v>
      </c>
      <c r="C52" s="6" t="n">
        <v>31.944</v>
      </c>
      <c r="D52" s="4" t="s">
        <v>456</v>
      </c>
      <c r="E52" s="18" t="s">
        <v>485</v>
      </c>
    </row>
    <row r="53" customFormat="false" ht="15" hidden="false" customHeight="true" outlineLevel="0" collapsed="false">
      <c r="A53" s="4" t="s">
        <v>75</v>
      </c>
      <c r="B53" s="4" t="s">
        <v>36</v>
      </c>
      <c r="C53" s="6" t="n">
        <v>40.259</v>
      </c>
      <c r="D53" s="17" t="s">
        <v>455</v>
      </c>
      <c r="E53" s="18" t="s">
        <v>486</v>
      </c>
    </row>
    <row r="54" customFormat="false" ht="15" hidden="false" customHeight="true" outlineLevel="0" collapsed="false">
      <c r="A54" s="4" t="s">
        <v>75</v>
      </c>
      <c r="B54" s="4" t="s">
        <v>36</v>
      </c>
      <c r="C54" s="6" t="n">
        <v>40.263</v>
      </c>
      <c r="D54" s="4" t="s">
        <v>460</v>
      </c>
      <c r="E54" s="18" t="s">
        <v>467</v>
      </c>
    </row>
    <row r="55" customFormat="false" ht="15" hidden="false" customHeight="true" outlineLevel="0" collapsed="false">
      <c r="A55" s="4" t="s">
        <v>75</v>
      </c>
      <c r="B55" s="4" t="s">
        <v>36</v>
      </c>
      <c r="C55" s="6" t="n">
        <v>40.307</v>
      </c>
      <c r="D55" s="4" t="s">
        <v>456</v>
      </c>
      <c r="E55" s="18" t="s">
        <v>468</v>
      </c>
    </row>
    <row r="56" customFormat="false" ht="15" hidden="false" customHeight="true" outlineLevel="0" collapsed="false">
      <c r="A56" s="4" t="s">
        <v>75</v>
      </c>
      <c r="B56" s="4" t="s">
        <v>36</v>
      </c>
      <c r="C56" s="6" t="n">
        <v>44.057</v>
      </c>
      <c r="D56" s="4" t="s">
        <v>456</v>
      </c>
      <c r="E56" s="18" t="s">
        <v>469</v>
      </c>
    </row>
    <row r="57" customFormat="false" ht="15" hidden="false" customHeight="true" outlineLevel="0" collapsed="false">
      <c r="A57" s="4" t="s">
        <v>75</v>
      </c>
      <c r="B57" s="4" t="s">
        <v>36</v>
      </c>
      <c r="C57" s="6" t="n">
        <v>48.239</v>
      </c>
      <c r="D57" s="17" t="s">
        <v>455</v>
      </c>
      <c r="E57" s="18" t="s">
        <v>487</v>
      </c>
    </row>
    <row r="58" customFormat="false" ht="15" hidden="false" customHeight="true" outlineLevel="0" collapsed="false">
      <c r="A58" s="4" t="s">
        <v>75</v>
      </c>
      <c r="B58" s="4" t="s">
        <v>36</v>
      </c>
      <c r="C58" s="6" t="n">
        <v>48.244</v>
      </c>
      <c r="D58" s="4" t="s">
        <v>460</v>
      </c>
      <c r="E58" s="18" t="s">
        <v>471</v>
      </c>
    </row>
    <row r="59" customFormat="false" ht="15" hidden="false" customHeight="true" outlineLevel="0" collapsed="false">
      <c r="A59" s="4" t="s">
        <v>75</v>
      </c>
      <c r="B59" s="4" t="s">
        <v>36</v>
      </c>
      <c r="C59" s="6" t="n">
        <v>48.257</v>
      </c>
      <c r="D59" s="4" t="s">
        <v>456</v>
      </c>
      <c r="E59" s="18" t="s">
        <v>472</v>
      </c>
    </row>
    <row r="60" customFormat="false" ht="15" hidden="false" customHeight="true" outlineLevel="0" collapsed="false">
      <c r="A60" s="4" t="s">
        <v>75</v>
      </c>
      <c r="B60" s="4" t="s">
        <v>36</v>
      </c>
      <c r="C60" s="6" t="n">
        <v>53.827</v>
      </c>
      <c r="D60" s="4" t="s">
        <v>456</v>
      </c>
      <c r="E60" s="18" t="s">
        <v>473</v>
      </c>
    </row>
    <row r="61" customFormat="false" ht="15" hidden="false" customHeight="true" outlineLevel="0" collapsed="false">
      <c r="A61" s="4" t="s">
        <v>82</v>
      </c>
      <c r="B61" s="4" t="s">
        <v>36</v>
      </c>
      <c r="C61" s="6" t="n">
        <v>5.661</v>
      </c>
      <c r="D61" s="4" t="s">
        <v>456</v>
      </c>
      <c r="E61" s="18" t="s">
        <v>462</v>
      </c>
    </row>
    <row r="62" customFormat="false" ht="15" hidden="false" customHeight="true" outlineLevel="0" collapsed="false">
      <c r="A62" s="4" t="s">
        <v>82</v>
      </c>
      <c r="B62" s="4" t="s">
        <v>36</v>
      </c>
      <c r="C62" s="6" t="n">
        <v>10.522</v>
      </c>
      <c r="D62" s="4" t="s">
        <v>456</v>
      </c>
      <c r="E62" s="18" t="s">
        <v>463</v>
      </c>
    </row>
    <row r="63" customFormat="false" ht="15" hidden="false" customHeight="true" outlineLevel="0" collapsed="false">
      <c r="A63" s="4" t="s">
        <v>82</v>
      </c>
      <c r="B63" s="4" t="s">
        <v>36</v>
      </c>
      <c r="C63" s="6" t="n">
        <v>27.676</v>
      </c>
      <c r="D63" s="17" t="s">
        <v>455</v>
      </c>
      <c r="E63" s="18" t="s">
        <v>86</v>
      </c>
    </row>
    <row r="64" customFormat="false" ht="15" hidden="false" customHeight="true" outlineLevel="0" collapsed="false">
      <c r="A64" s="4" t="s">
        <v>82</v>
      </c>
      <c r="B64" s="4" t="s">
        <v>36</v>
      </c>
      <c r="C64" s="6" t="n">
        <v>27.68</v>
      </c>
      <c r="D64" s="4" t="s">
        <v>460</v>
      </c>
      <c r="E64" s="18" t="s">
        <v>57</v>
      </c>
    </row>
    <row r="65" customFormat="false" ht="15" hidden="false" customHeight="true" outlineLevel="0" collapsed="false">
      <c r="A65" s="4" t="s">
        <v>82</v>
      </c>
      <c r="B65" s="4" t="s">
        <v>36</v>
      </c>
      <c r="C65" s="6" t="n">
        <v>27.725</v>
      </c>
      <c r="D65" s="4" t="s">
        <v>456</v>
      </c>
      <c r="E65" s="18" t="s">
        <v>464</v>
      </c>
    </row>
    <row r="66" customFormat="false" ht="15" hidden="false" customHeight="true" outlineLevel="0" collapsed="false">
      <c r="A66" s="4" t="s">
        <v>82</v>
      </c>
      <c r="B66" s="4" t="s">
        <v>36</v>
      </c>
      <c r="C66" s="6" t="n">
        <v>32.733</v>
      </c>
      <c r="D66" s="4" t="s">
        <v>456</v>
      </c>
      <c r="E66" s="18" t="s">
        <v>465</v>
      </c>
    </row>
    <row r="67" customFormat="false" ht="15" hidden="false" customHeight="true" outlineLevel="0" collapsed="false">
      <c r="A67" s="4" t="s">
        <v>82</v>
      </c>
      <c r="B67" s="4" t="s">
        <v>36</v>
      </c>
      <c r="C67" s="6" t="n">
        <v>42.64</v>
      </c>
      <c r="D67" s="17" t="s">
        <v>455</v>
      </c>
      <c r="E67" s="18" t="s">
        <v>488</v>
      </c>
    </row>
    <row r="68" customFormat="false" ht="15" hidden="false" customHeight="true" outlineLevel="0" collapsed="false">
      <c r="A68" s="4" t="s">
        <v>82</v>
      </c>
      <c r="B68" s="4" t="s">
        <v>36</v>
      </c>
      <c r="C68" s="6" t="n">
        <v>43.912</v>
      </c>
      <c r="D68" s="4" t="s">
        <v>460</v>
      </c>
      <c r="E68" s="18" t="s">
        <v>489</v>
      </c>
    </row>
    <row r="69" customFormat="false" ht="15" hidden="false" customHeight="true" outlineLevel="0" collapsed="false">
      <c r="A69" s="4" t="s">
        <v>82</v>
      </c>
      <c r="B69" s="4" t="s">
        <v>36</v>
      </c>
      <c r="C69" s="6" t="n">
        <v>43.958</v>
      </c>
      <c r="D69" s="4" t="s">
        <v>456</v>
      </c>
      <c r="E69" s="18" t="s">
        <v>468</v>
      </c>
    </row>
    <row r="70" customFormat="false" ht="15" hidden="false" customHeight="true" outlineLevel="0" collapsed="false">
      <c r="A70" s="4" t="s">
        <v>82</v>
      </c>
      <c r="B70" s="4" t="s">
        <v>36</v>
      </c>
      <c r="C70" s="6" t="n">
        <v>52.124</v>
      </c>
      <c r="D70" s="4" t="s">
        <v>456</v>
      </c>
      <c r="E70" s="18" t="s">
        <v>473</v>
      </c>
    </row>
    <row r="71" customFormat="false" ht="15" hidden="false" customHeight="true" outlineLevel="0" collapsed="false">
      <c r="A71" s="4" t="s">
        <v>90</v>
      </c>
      <c r="B71" s="4" t="s">
        <v>36</v>
      </c>
      <c r="C71" s="6" t="n">
        <v>8.278</v>
      </c>
      <c r="D71" s="17" t="s">
        <v>455</v>
      </c>
      <c r="E71" s="18" t="s">
        <v>91</v>
      </c>
    </row>
    <row r="72" customFormat="false" ht="15" hidden="false" customHeight="true" outlineLevel="0" collapsed="false">
      <c r="A72" s="4" t="s">
        <v>90</v>
      </c>
      <c r="B72" s="4" t="s">
        <v>36</v>
      </c>
      <c r="C72" s="6" t="n">
        <v>9.143</v>
      </c>
      <c r="D72" s="4" t="s">
        <v>456</v>
      </c>
      <c r="E72" s="18" t="s">
        <v>490</v>
      </c>
    </row>
    <row r="73" customFormat="false" ht="15" hidden="false" customHeight="true" outlineLevel="0" collapsed="false">
      <c r="A73" s="4" t="s">
        <v>93</v>
      </c>
      <c r="B73" s="4" t="s">
        <v>36</v>
      </c>
      <c r="C73" s="6" t="n">
        <v>5.201</v>
      </c>
      <c r="D73" s="17" t="s">
        <v>455</v>
      </c>
      <c r="E73" s="18" t="s">
        <v>94</v>
      </c>
    </row>
    <row r="74" customFormat="false" ht="15" hidden="false" customHeight="true" outlineLevel="0" collapsed="false">
      <c r="A74" s="4" t="s">
        <v>93</v>
      </c>
      <c r="B74" s="4" t="s">
        <v>36</v>
      </c>
      <c r="C74" s="6" t="n">
        <v>6.511</v>
      </c>
      <c r="D74" s="4" t="s">
        <v>456</v>
      </c>
      <c r="E74" s="18" t="s">
        <v>491</v>
      </c>
    </row>
    <row r="75" customFormat="false" ht="15" hidden="false" customHeight="true" outlineLevel="0" collapsed="false">
      <c r="A75" s="4" t="s">
        <v>93</v>
      </c>
      <c r="B75" s="4" t="s">
        <v>36</v>
      </c>
      <c r="C75" s="6" t="n">
        <v>12.929</v>
      </c>
      <c r="D75" s="4" t="s">
        <v>456</v>
      </c>
      <c r="E75" s="18" t="s">
        <v>492</v>
      </c>
    </row>
    <row r="76" customFormat="false" ht="15" hidden="false" customHeight="true" outlineLevel="0" collapsed="false">
      <c r="A76" s="4" t="s">
        <v>449</v>
      </c>
      <c r="B76" s="4" t="s">
        <v>36</v>
      </c>
      <c r="C76" s="6" t="n">
        <v>7.417</v>
      </c>
      <c r="D76" s="17" t="s">
        <v>455</v>
      </c>
      <c r="E76" s="18" t="s">
        <v>98</v>
      </c>
    </row>
    <row r="77" customFormat="false" ht="15" hidden="false" customHeight="true" outlineLevel="0" collapsed="false">
      <c r="A77" s="4" t="s">
        <v>449</v>
      </c>
      <c r="B77" s="4" t="s">
        <v>36</v>
      </c>
      <c r="C77" s="6" t="n">
        <v>8.653</v>
      </c>
      <c r="D77" s="4" t="s">
        <v>460</v>
      </c>
      <c r="E77" s="18" t="s">
        <v>493</v>
      </c>
    </row>
    <row r="78" customFormat="false" ht="15" hidden="false" customHeight="true" outlineLevel="0" collapsed="false">
      <c r="A78" s="4" t="s">
        <v>449</v>
      </c>
      <c r="B78" s="4" t="s">
        <v>36</v>
      </c>
      <c r="C78" s="6" t="n">
        <v>13.716</v>
      </c>
      <c r="D78" s="4" t="s">
        <v>456</v>
      </c>
      <c r="E78" s="18" t="s">
        <v>494</v>
      </c>
    </row>
    <row r="79" customFormat="false" ht="15" hidden="false" customHeight="true" outlineLevel="0" collapsed="false">
      <c r="A79" s="4" t="s">
        <v>449</v>
      </c>
      <c r="B79" s="4" t="s">
        <v>36</v>
      </c>
      <c r="C79" s="6" t="n">
        <v>20.358</v>
      </c>
      <c r="D79" s="4" t="s">
        <v>456</v>
      </c>
      <c r="E79" s="18" t="s">
        <v>495</v>
      </c>
    </row>
    <row r="80" customFormat="false" ht="15" hidden="false" customHeight="true" outlineLevel="0" collapsed="false">
      <c r="A80" s="4" t="s">
        <v>449</v>
      </c>
      <c r="B80" s="4" t="s">
        <v>36</v>
      </c>
      <c r="C80" s="6" t="n">
        <v>33.108</v>
      </c>
      <c r="D80" s="17" t="s">
        <v>455</v>
      </c>
      <c r="E80" s="18" t="s">
        <v>496</v>
      </c>
    </row>
    <row r="81" customFormat="false" ht="15" hidden="false" customHeight="true" outlineLevel="0" collapsed="false">
      <c r="A81" s="4" t="s">
        <v>449</v>
      </c>
      <c r="B81" s="4" t="s">
        <v>36</v>
      </c>
      <c r="C81" s="6" t="n">
        <v>33.114</v>
      </c>
      <c r="D81" s="4" t="s">
        <v>460</v>
      </c>
      <c r="E81" s="18" t="s">
        <v>471</v>
      </c>
    </row>
    <row r="82" customFormat="false" ht="15" hidden="false" customHeight="true" outlineLevel="0" collapsed="false">
      <c r="A82" s="4" t="s">
        <v>449</v>
      </c>
      <c r="B82" s="4" t="s">
        <v>36</v>
      </c>
      <c r="C82" s="6" t="n">
        <v>33.156</v>
      </c>
      <c r="D82" s="4" t="s">
        <v>456</v>
      </c>
      <c r="E82" s="18" t="s">
        <v>472</v>
      </c>
    </row>
    <row r="83" customFormat="false" ht="15" hidden="false" customHeight="true" outlineLevel="0" collapsed="false">
      <c r="A83" s="4" t="s">
        <v>449</v>
      </c>
      <c r="B83" s="4" t="s">
        <v>36</v>
      </c>
      <c r="C83" s="6" t="n">
        <v>34.585</v>
      </c>
      <c r="D83" s="17" t="s">
        <v>455</v>
      </c>
      <c r="E83" s="18" t="s">
        <v>497</v>
      </c>
    </row>
    <row r="84" customFormat="false" ht="15" hidden="false" customHeight="true" outlineLevel="0" collapsed="false">
      <c r="A84" s="4" t="s">
        <v>449</v>
      </c>
      <c r="B84" s="4" t="s">
        <v>36</v>
      </c>
      <c r="C84" s="6" t="n">
        <v>34.593</v>
      </c>
      <c r="D84" s="4" t="s">
        <v>460</v>
      </c>
      <c r="E84" s="18" t="s">
        <v>471</v>
      </c>
    </row>
    <row r="85" customFormat="false" ht="15" hidden="false" customHeight="true" outlineLevel="0" collapsed="false">
      <c r="A85" s="4" t="s">
        <v>449</v>
      </c>
      <c r="B85" s="4" t="s">
        <v>36</v>
      </c>
      <c r="C85" s="6" t="n">
        <v>39.724</v>
      </c>
      <c r="D85" s="4" t="s">
        <v>456</v>
      </c>
      <c r="E85" s="18" t="s">
        <v>498</v>
      </c>
    </row>
    <row r="86" customFormat="false" ht="15" hidden="false" customHeight="true" outlineLevel="0" collapsed="false">
      <c r="A86" s="4" t="s">
        <v>449</v>
      </c>
      <c r="B86" s="4" t="s">
        <v>36</v>
      </c>
      <c r="C86" s="6" t="n">
        <v>48.787</v>
      </c>
      <c r="D86" s="17" t="s">
        <v>455</v>
      </c>
      <c r="E86" s="18" t="s">
        <v>499</v>
      </c>
    </row>
    <row r="87" customFormat="false" ht="15" hidden="false" customHeight="true" outlineLevel="0" collapsed="false">
      <c r="A87" s="4" t="s">
        <v>449</v>
      </c>
      <c r="B87" s="4" t="s">
        <v>36</v>
      </c>
      <c r="C87" s="6" t="n">
        <v>48.792</v>
      </c>
      <c r="D87" s="4" t="s">
        <v>460</v>
      </c>
      <c r="E87" s="18" t="s">
        <v>467</v>
      </c>
    </row>
    <row r="88" customFormat="false" ht="15" hidden="false" customHeight="true" outlineLevel="0" collapsed="false">
      <c r="A88" s="4" t="s">
        <v>449</v>
      </c>
      <c r="B88" s="4" t="s">
        <v>36</v>
      </c>
      <c r="C88" s="6" t="n">
        <v>48.842</v>
      </c>
      <c r="D88" s="4" t="s">
        <v>456</v>
      </c>
      <c r="E88" s="18" t="s">
        <v>468</v>
      </c>
    </row>
    <row r="89" customFormat="false" ht="15" hidden="false" customHeight="true" outlineLevel="0" collapsed="false">
      <c r="A89" s="4" t="s">
        <v>449</v>
      </c>
      <c r="B89" s="4" t="s">
        <v>36</v>
      </c>
      <c r="C89" s="6" t="n">
        <v>52.916</v>
      </c>
      <c r="D89" s="4" t="s">
        <v>456</v>
      </c>
      <c r="E89" s="18" t="s">
        <v>500</v>
      </c>
    </row>
    <row r="90" customFormat="false" ht="15" hidden="false" customHeight="true" outlineLevel="0" collapsed="false">
      <c r="A90" s="4" t="s">
        <v>97</v>
      </c>
      <c r="B90" s="4" t="s">
        <v>36</v>
      </c>
      <c r="C90" s="6" t="n">
        <v>6.882</v>
      </c>
      <c r="D90" s="17" t="s">
        <v>455</v>
      </c>
      <c r="E90" s="18" t="s">
        <v>98</v>
      </c>
    </row>
    <row r="91" customFormat="false" ht="15" hidden="false" customHeight="true" outlineLevel="0" collapsed="false">
      <c r="A91" s="4" t="s">
        <v>97</v>
      </c>
      <c r="B91" s="4" t="s">
        <v>36</v>
      </c>
      <c r="C91" s="6" t="n">
        <v>7.839</v>
      </c>
      <c r="D91" s="4" t="s">
        <v>460</v>
      </c>
      <c r="E91" s="18" t="s">
        <v>493</v>
      </c>
    </row>
    <row r="92" customFormat="false" ht="15" hidden="false" customHeight="true" outlineLevel="0" collapsed="false">
      <c r="A92" s="4" t="s">
        <v>97</v>
      </c>
      <c r="B92" s="4" t="s">
        <v>36</v>
      </c>
      <c r="C92" s="6" t="n">
        <v>9.801</v>
      </c>
      <c r="D92" s="4" t="s">
        <v>456</v>
      </c>
      <c r="E92" s="18" t="s">
        <v>494</v>
      </c>
    </row>
    <row r="93" customFormat="false" ht="15" hidden="false" customHeight="true" outlineLevel="0" collapsed="false">
      <c r="A93" s="4" t="s">
        <v>97</v>
      </c>
      <c r="B93" s="4" t="s">
        <v>36</v>
      </c>
      <c r="C93" s="6" t="n">
        <v>14.311</v>
      </c>
      <c r="D93" s="4" t="s">
        <v>456</v>
      </c>
      <c r="E93" s="18" t="s">
        <v>495</v>
      </c>
    </row>
    <row r="94" customFormat="false" ht="15" hidden="false" customHeight="true" outlineLevel="0" collapsed="false">
      <c r="A94" s="4" t="s">
        <v>97</v>
      </c>
      <c r="B94" s="4" t="s">
        <v>36</v>
      </c>
      <c r="C94" s="6" t="n">
        <v>22.438</v>
      </c>
      <c r="D94" s="17" t="s">
        <v>455</v>
      </c>
      <c r="E94" s="18" t="s">
        <v>481</v>
      </c>
    </row>
    <row r="95" customFormat="false" ht="15" hidden="false" customHeight="true" outlineLevel="0" collapsed="false">
      <c r="A95" s="4" t="s">
        <v>97</v>
      </c>
      <c r="B95" s="4" t="s">
        <v>36</v>
      </c>
      <c r="C95" s="6" t="n">
        <v>22.45</v>
      </c>
      <c r="D95" s="4" t="s">
        <v>460</v>
      </c>
      <c r="E95" s="18" t="s">
        <v>71</v>
      </c>
    </row>
    <row r="96" customFormat="false" ht="15" hidden="false" customHeight="true" outlineLevel="0" collapsed="false">
      <c r="A96" s="4" t="s">
        <v>97</v>
      </c>
      <c r="B96" s="4" t="s">
        <v>36</v>
      </c>
      <c r="C96" s="6" t="n">
        <v>22.512</v>
      </c>
      <c r="D96" s="4" t="s">
        <v>456</v>
      </c>
      <c r="E96" s="18" t="s">
        <v>482</v>
      </c>
    </row>
    <row r="97" customFormat="false" ht="15" hidden="false" customHeight="true" outlineLevel="0" collapsed="false">
      <c r="A97" s="4" t="s">
        <v>97</v>
      </c>
      <c r="B97" s="4" t="s">
        <v>36</v>
      </c>
      <c r="C97" s="6" t="n">
        <v>25.537</v>
      </c>
      <c r="D97" s="4" t="s">
        <v>456</v>
      </c>
      <c r="E97" s="18" t="s">
        <v>501</v>
      </c>
    </row>
    <row r="98" customFormat="false" ht="15" hidden="false" customHeight="true" outlineLevel="0" collapsed="false">
      <c r="A98" s="4" t="s">
        <v>97</v>
      </c>
      <c r="B98" s="4" t="s">
        <v>36</v>
      </c>
      <c r="C98" s="6" t="n">
        <v>34.477</v>
      </c>
      <c r="D98" s="17" t="s">
        <v>455</v>
      </c>
      <c r="E98" s="18" t="s">
        <v>486</v>
      </c>
    </row>
    <row r="99" customFormat="false" ht="15" hidden="false" customHeight="true" outlineLevel="0" collapsed="false">
      <c r="A99" s="4" t="s">
        <v>97</v>
      </c>
      <c r="B99" s="4" t="s">
        <v>36</v>
      </c>
      <c r="C99" s="6" t="n">
        <v>34.495</v>
      </c>
      <c r="D99" s="4" t="s">
        <v>460</v>
      </c>
      <c r="E99" s="18" t="s">
        <v>467</v>
      </c>
    </row>
    <row r="100" customFormat="false" ht="15" hidden="false" customHeight="true" outlineLevel="0" collapsed="false">
      <c r="A100" s="4" t="s">
        <v>97</v>
      </c>
      <c r="B100" s="4" t="s">
        <v>36</v>
      </c>
      <c r="C100" s="6" t="n">
        <v>34.533</v>
      </c>
      <c r="D100" s="4" t="s">
        <v>456</v>
      </c>
      <c r="E100" s="18" t="s">
        <v>468</v>
      </c>
    </row>
    <row r="101" customFormat="false" ht="15" hidden="false" customHeight="true" outlineLevel="0" collapsed="false">
      <c r="A101" s="4" t="s">
        <v>97</v>
      </c>
      <c r="B101" s="4" t="s">
        <v>36</v>
      </c>
      <c r="C101" s="6" t="n">
        <v>38.193</v>
      </c>
      <c r="D101" s="4" t="s">
        <v>456</v>
      </c>
      <c r="E101" s="18" t="s">
        <v>469</v>
      </c>
    </row>
    <row r="102" customFormat="false" ht="15" hidden="false" customHeight="true" outlineLevel="0" collapsed="false">
      <c r="A102" s="4" t="s">
        <v>97</v>
      </c>
      <c r="B102" s="4" t="s">
        <v>36</v>
      </c>
      <c r="C102" s="6" t="n">
        <v>41.777</v>
      </c>
      <c r="D102" s="17" t="s">
        <v>455</v>
      </c>
      <c r="E102" s="18" t="s">
        <v>487</v>
      </c>
    </row>
    <row r="103" customFormat="false" ht="15" hidden="false" customHeight="true" outlineLevel="0" collapsed="false">
      <c r="A103" s="4" t="s">
        <v>97</v>
      </c>
      <c r="B103" s="4" t="s">
        <v>36</v>
      </c>
      <c r="C103" s="6" t="n">
        <v>41.784</v>
      </c>
      <c r="D103" s="4" t="s">
        <v>460</v>
      </c>
      <c r="E103" s="18" t="s">
        <v>471</v>
      </c>
    </row>
    <row r="104" customFormat="false" ht="15" hidden="false" customHeight="true" outlineLevel="0" collapsed="false">
      <c r="A104" s="4" t="s">
        <v>97</v>
      </c>
      <c r="B104" s="4" t="s">
        <v>36</v>
      </c>
      <c r="C104" s="6" t="n">
        <v>41.794</v>
      </c>
      <c r="D104" s="4" t="s">
        <v>456</v>
      </c>
      <c r="E104" s="18" t="s">
        <v>472</v>
      </c>
    </row>
    <row r="105" customFormat="false" ht="15" hidden="false" customHeight="true" outlineLevel="0" collapsed="false">
      <c r="A105" s="4" t="s">
        <v>97</v>
      </c>
      <c r="B105" s="4" t="s">
        <v>36</v>
      </c>
      <c r="C105" s="6" t="n">
        <v>46.104</v>
      </c>
      <c r="D105" s="4" t="s">
        <v>456</v>
      </c>
      <c r="E105" s="18" t="s">
        <v>473</v>
      </c>
    </row>
    <row r="106" customFormat="false" ht="15" hidden="false" customHeight="true" outlineLevel="0" collapsed="false">
      <c r="A106" s="4" t="s">
        <v>104</v>
      </c>
      <c r="B106" s="4" t="s">
        <v>36</v>
      </c>
      <c r="C106" s="6" t="n">
        <v>6.226</v>
      </c>
      <c r="D106" s="17" t="s">
        <v>455</v>
      </c>
      <c r="E106" s="18" t="s">
        <v>105</v>
      </c>
    </row>
    <row r="107" customFormat="false" ht="15" hidden="false" customHeight="true" outlineLevel="0" collapsed="false">
      <c r="A107" s="4" t="s">
        <v>104</v>
      </c>
      <c r="B107" s="4" t="s">
        <v>36</v>
      </c>
      <c r="C107" s="6" t="n">
        <v>7.351</v>
      </c>
      <c r="D107" s="4" t="s">
        <v>460</v>
      </c>
      <c r="E107" s="18" t="s">
        <v>474</v>
      </c>
    </row>
    <row r="108" customFormat="false" ht="15" hidden="false" customHeight="true" outlineLevel="0" collapsed="false">
      <c r="A108" s="4" t="s">
        <v>104</v>
      </c>
      <c r="B108" s="4" t="s">
        <v>36</v>
      </c>
      <c r="C108" s="6" t="n">
        <v>7.368</v>
      </c>
      <c r="D108" s="4" t="s">
        <v>456</v>
      </c>
      <c r="E108" s="18" t="s">
        <v>475</v>
      </c>
    </row>
    <row r="109" customFormat="false" ht="15" hidden="false" customHeight="true" outlineLevel="0" collapsed="false">
      <c r="A109" s="4" t="s">
        <v>104</v>
      </c>
      <c r="B109" s="4" t="s">
        <v>36</v>
      </c>
      <c r="C109" s="6" t="n">
        <v>15.567</v>
      </c>
      <c r="D109" s="4" t="s">
        <v>456</v>
      </c>
      <c r="E109" s="18" t="s">
        <v>479</v>
      </c>
    </row>
    <row r="110" customFormat="false" ht="15" hidden="false" customHeight="true" outlineLevel="0" collapsed="false">
      <c r="A110" s="4" t="s">
        <v>104</v>
      </c>
      <c r="B110" s="4" t="s">
        <v>36</v>
      </c>
      <c r="C110" s="6" t="n">
        <v>20.974</v>
      </c>
      <c r="D110" s="4" t="s">
        <v>456</v>
      </c>
      <c r="E110" s="18" t="s">
        <v>480</v>
      </c>
    </row>
    <row r="111" customFormat="false" ht="15" hidden="false" customHeight="true" outlineLevel="0" collapsed="false">
      <c r="A111" s="4" t="s">
        <v>104</v>
      </c>
      <c r="B111" s="4" t="s">
        <v>36</v>
      </c>
      <c r="C111" s="6" t="n">
        <v>28.849</v>
      </c>
      <c r="D111" s="17" t="s">
        <v>455</v>
      </c>
      <c r="E111" s="18" t="s">
        <v>86</v>
      </c>
    </row>
    <row r="112" customFormat="false" ht="15" hidden="false" customHeight="true" outlineLevel="0" collapsed="false">
      <c r="A112" s="4" t="s">
        <v>104</v>
      </c>
      <c r="B112" s="4" t="s">
        <v>36</v>
      </c>
      <c r="C112" s="6" t="n">
        <v>28.863</v>
      </c>
      <c r="D112" s="4" t="s">
        <v>460</v>
      </c>
      <c r="E112" s="18" t="s">
        <v>57</v>
      </c>
    </row>
    <row r="113" customFormat="false" ht="15" hidden="false" customHeight="true" outlineLevel="0" collapsed="false">
      <c r="A113" s="4" t="s">
        <v>104</v>
      </c>
      <c r="B113" s="4" t="s">
        <v>36</v>
      </c>
      <c r="C113" s="6" t="n">
        <v>28.926</v>
      </c>
      <c r="D113" s="4" t="s">
        <v>456</v>
      </c>
      <c r="E113" s="18" t="s">
        <v>464</v>
      </c>
    </row>
    <row r="114" customFormat="false" ht="15" hidden="false" customHeight="true" outlineLevel="0" collapsed="false">
      <c r="A114" s="4" t="s">
        <v>104</v>
      </c>
      <c r="B114" s="4" t="s">
        <v>36</v>
      </c>
      <c r="C114" s="6" t="n">
        <v>33.764</v>
      </c>
      <c r="D114" s="4" t="s">
        <v>456</v>
      </c>
      <c r="E114" s="18" t="s">
        <v>485</v>
      </c>
    </row>
    <row r="115" customFormat="false" ht="15" hidden="false" customHeight="true" outlineLevel="0" collapsed="false">
      <c r="A115" s="4" t="s">
        <v>104</v>
      </c>
      <c r="B115" s="4" t="s">
        <v>36</v>
      </c>
      <c r="C115" s="6" t="n">
        <v>42.499</v>
      </c>
      <c r="D115" s="17" t="s">
        <v>455</v>
      </c>
      <c r="E115" s="18" t="s">
        <v>502</v>
      </c>
    </row>
    <row r="116" customFormat="false" ht="15" hidden="false" customHeight="true" outlineLevel="0" collapsed="false">
      <c r="A116" s="4" t="s">
        <v>104</v>
      </c>
      <c r="B116" s="4" t="s">
        <v>36</v>
      </c>
      <c r="C116" s="6" t="n">
        <v>42.546</v>
      </c>
      <c r="D116" s="4" t="s">
        <v>460</v>
      </c>
      <c r="E116" s="18" t="s">
        <v>503</v>
      </c>
    </row>
    <row r="117" customFormat="false" ht="15" hidden="false" customHeight="true" outlineLevel="0" collapsed="false">
      <c r="A117" s="4" t="s">
        <v>104</v>
      </c>
      <c r="B117" s="4" t="s">
        <v>36</v>
      </c>
      <c r="C117" s="6" t="n">
        <v>42.576</v>
      </c>
      <c r="D117" s="4" t="s">
        <v>456</v>
      </c>
      <c r="E117" s="18" t="s">
        <v>468</v>
      </c>
    </row>
    <row r="118" customFormat="false" ht="15" hidden="false" customHeight="true" outlineLevel="0" collapsed="false">
      <c r="A118" s="4" t="s">
        <v>104</v>
      </c>
      <c r="B118" s="4" t="s">
        <v>36</v>
      </c>
      <c r="C118" s="6" t="n">
        <v>50.632</v>
      </c>
      <c r="D118" s="4" t="s">
        <v>456</v>
      </c>
      <c r="E118" s="18" t="s">
        <v>473</v>
      </c>
    </row>
    <row r="119" customFormat="false" ht="15" hidden="false" customHeight="true" outlineLevel="0" collapsed="false">
      <c r="A119" s="4" t="s">
        <v>109</v>
      </c>
      <c r="B119" s="4" t="s">
        <v>36</v>
      </c>
      <c r="C119" s="6" t="n">
        <v>5.086</v>
      </c>
      <c r="D119" s="17" t="s">
        <v>455</v>
      </c>
      <c r="E119" s="18" t="s">
        <v>69</v>
      </c>
    </row>
    <row r="120" customFormat="false" ht="15" hidden="false" customHeight="true" outlineLevel="0" collapsed="false">
      <c r="A120" s="4" t="s">
        <v>109</v>
      </c>
      <c r="B120" s="4" t="s">
        <v>36</v>
      </c>
      <c r="C120" s="6" t="n">
        <v>5.089</v>
      </c>
      <c r="D120" s="4" t="s">
        <v>460</v>
      </c>
      <c r="E120" s="18" t="s">
        <v>474</v>
      </c>
    </row>
    <row r="121" customFormat="false" ht="15" hidden="false" customHeight="true" outlineLevel="0" collapsed="false">
      <c r="A121" s="4" t="s">
        <v>109</v>
      </c>
      <c r="B121" s="4" t="s">
        <v>36</v>
      </c>
      <c r="C121" s="6" t="n">
        <v>5.124</v>
      </c>
      <c r="D121" s="4" t="s">
        <v>456</v>
      </c>
      <c r="E121" s="18" t="s">
        <v>475</v>
      </c>
    </row>
    <row r="122" customFormat="false" ht="15" hidden="false" customHeight="true" outlineLevel="0" collapsed="false">
      <c r="A122" s="4" t="s">
        <v>109</v>
      </c>
      <c r="B122" s="4" t="s">
        <v>36</v>
      </c>
      <c r="C122" s="6" t="n">
        <v>13.958</v>
      </c>
      <c r="D122" s="17" t="s">
        <v>455</v>
      </c>
      <c r="E122" s="18" t="s">
        <v>504</v>
      </c>
    </row>
    <row r="123" customFormat="false" ht="15" hidden="false" customHeight="true" outlineLevel="0" collapsed="false">
      <c r="A123" s="4" t="s">
        <v>109</v>
      </c>
      <c r="B123" s="4" t="s">
        <v>36</v>
      </c>
      <c r="C123" s="6" t="n">
        <v>15.219</v>
      </c>
      <c r="D123" s="4" t="s">
        <v>460</v>
      </c>
      <c r="E123" s="18" t="s">
        <v>505</v>
      </c>
    </row>
    <row r="124" customFormat="false" ht="15" hidden="false" customHeight="true" outlineLevel="0" collapsed="false">
      <c r="A124" s="4" t="s">
        <v>109</v>
      </c>
      <c r="B124" s="4" t="s">
        <v>36</v>
      </c>
      <c r="C124" s="6" t="n">
        <v>15.263</v>
      </c>
      <c r="D124" s="4" t="s">
        <v>456</v>
      </c>
      <c r="E124" s="18" t="s">
        <v>506</v>
      </c>
    </row>
    <row r="125" customFormat="false" ht="15" hidden="false" customHeight="true" outlineLevel="0" collapsed="false">
      <c r="A125" s="4" t="s">
        <v>109</v>
      </c>
      <c r="B125" s="4" t="s">
        <v>36</v>
      </c>
      <c r="C125" s="6" t="n">
        <v>18.367</v>
      </c>
      <c r="D125" s="4" t="s">
        <v>456</v>
      </c>
      <c r="E125" s="18" t="s">
        <v>479</v>
      </c>
    </row>
    <row r="126" customFormat="false" ht="15" hidden="false" customHeight="true" outlineLevel="0" collapsed="false">
      <c r="A126" s="4" t="s">
        <v>109</v>
      </c>
      <c r="B126" s="4" t="s">
        <v>36</v>
      </c>
      <c r="C126" s="6" t="n">
        <v>21.374</v>
      </c>
      <c r="D126" s="4" t="s">
        <v>456</v>
      </c>
      <c r="E126" s="18" t="s">
        <v>480</v>
      </c>
    </row>
    <row r="127" customFormat="false" ht="15" hidden="false" customHeight="true" outlineLevel="0" collapsed="false">
      <c r="A127" s="4" t="s">
        <v>109</v>
      </c>
      <c r="B127" s="4" t="s">
        <v>36</v>
      </c>
      <c r="C127" s="6" t="n">
        <v>27.357</v>
      </c>
      <c r="D127" s="17" t="s">
        <v>455</v>
      </c>
      <c r="E127" s="18" t="s">
        <v>496</v>
      </c>
    </row>
    <row r="128" customFormat="false" ht="15" hidden="false" customHeight="true" outlineLevel="0" collapsed="false">
      <c r="A128" s="4" t="s">
        <v>109</v>
      </c>
      <c r="B128" s="4" t="s">
        <v>36</v>
      </c>
      <c r="C128" s="6" t="n">
        <v>27.362</v>
      </c>
      <c r="D128" s="4" t="s">
        <v>460</v>
      </c>
      <c r="E128" s="18" t="s">
        <v>471</v>
      </c>
    </row>
    <row r="129" customFormat="false" ht="15" hidden="false" customHeight="true" outlineLevel="0" collapsed="false">
      <c r="A129" s="4" t="s">
        <v>109</v>
      </c>
      <c r="B129" s="4" t="s">
        <v>36</v>
      </c>
      <c r="C129" s="6" t="n">
        <v>27.416</v>
      </c>
      <c r="D129" s="4" t="s">
        <v>456</v>
      </c>
      <c r="E129" s="18" t="s">
        <v>472</v>
      </c>
    </row>
    <row r="130" customFormat="false" ht="15" hidden="false" customHeight="true" outlineLevel="0" collapsed="false">
      <c r="A130" s="4" t="s">
        <v>109</v>
      </c>
      <c r="B130" s="4" t="s">
        <v>36</v>
      </c>
      <c r="C130" s="6" t="n">
        <v>33.509</v>
      </c>
      <c r="D130" s="4" t="s">
        <v>456</v>
      </c>
      <c r="E130" s="18" t="s">
        <v>507</v>
      </c>
    </row>
    <row r="131" customFormat="false" ht="15" hidden="false" customHeight="true" outlineLevel="0" collapsed="false">
      <c r="A131" s="4" t="s">
        <v>109</v>
      </c>
      <c r="B131" s="4" t="s">
        <v>36</v>
      </c>
      <c r="C131" s="6" t="n">
        <v>41.718</v>
      </c>
      <c r="D131" s="17" t="s">
        <v>455</v>
      </c>
      <c r="E131" s="18" t="s">
        <v>484</v>
      </c>
    </row>
    <row r="132" customFormat="false" ht="15" hidden="false" customHeight="true" outlineLevel="0" collapsed="false">
      <c r="A132" s="4" t="s">
        <v>109</v>
      </c>
      <c r="B132" s="4" t="s">
        <v>36</v>
      </c>
      <c r="C132" s="6" t="n">
        <v>41.731</v>
      </c>
      <c r="D132" s="4" t="s">
        <v>460</v>
      </c>
      <c r="E132" s="18" t="s">
        <v>467</v>
      </c>
    </row>
    <row r="133" customFormat="false" ht="15" hidden="false" customHeight="true" outlineLevel="0" collapsed="false">
      <c r="A133" s="4" t="s">
        <v>109</v>
      </c>
      <c r="B133" s="4" t="s">
        <v>36</v>
      </c>
      <c r="C133" s="6" t="n">
        <v>41.767</v>
      </c>
      <c r="D133" s="4" t="s">
        <v>456</v>
      </c>
      <c r="E133" s="18" t="s">
        <v>468</v>
      </c>
    </row>
    <row r="134" customFormat="false" ht="15" hidden="false" customHeight="true" outlineLevel="0" collapsed="false">
      <c r="A134" s="4" t="s">
        <v>109</v>
      </c>
      <c r="B134" s="4" t="s">
        <v>36</v>
      </c>
      <c r="C134" s="6" t="n">
        <v>45.716</v>
      </c>
      <c r="D134" s="4" t="s">
        <v>456</v>
      </c>
      <c r="E134" s="18" t="s">
        <v>500</v>
      </c>
    </row>
    <row r="135" customFormat="false" ht="15" hidden="false" customHeight="true" outlineLevel="0" collapsed="false">
      <c r="A135" s="4" t="s">
        <v>114</v>
      </c>
      <c r="B135" s="4" t="s">
        <v>36</v>
      </c>
      <c r="C135" s="6" t="n">
        <v>7.815</v>
      </c>
      <c r="D135" s="17" t="s">
        <v>455</v>
      </c>
      <c r="E135" s="18" t="s">
        <v>115</v>
      </c>
    </row>
    <row r="136" customFormat="false" ht="15" hidden="false" customHeight="true" outlineLevel="0" collapsed="false">
      <c r="A136" s="4" t="s">
        <v>114</v>
      </c>
      <c r="B136" s="4" t="s">
        <v>36</v>
      </c>
      <c r="C136" s="6" t="n">
        <v>7.822</v>
      </c>
      <c r="D136" s="4" t="s">
        <v>460</v>
      </c>
      <c r="E136" s="18" t="s">
        <v>493</v>
      </c>
    </row>
    <row r="137" customFormat="false" ht="15" hidden="false" customHeight="true" outlineLevel="0" collapsed="false">
      <c r="A137" s="4" t="s">
        <v>114</v>
      </c>
      <c r="B137" s="4" t="s">
        <v>36</v>
      </c>
      <c r="C137" s="6" t="n">
        <v>9.642</v>
      </c>
      <c r="D137" s="4" t="s">
        <v>456</v>
      </c>
      <c r="E137" s="18" t="s">
        <v>494</v>
      </c>
    </row>
    <row r="138" customFormat="false" ht="15" hidden="false" customHeight="true" outlineLevel="0" collapsed="false">
      <c r="A138" s="4" t="s">
        <v>114</v>
      </c>
      <c r="B138" s="4" t="s">
        <v>36</v>
      </c>
      <c r="C138" s="6" t="n">
        <v>14.345</v>
      </c>
      <c r="D138" s="4" t="s">
        <v>456</v>
      </c>
      <c r="E138" s="18" t="s">
        <v>495</v>
      </c>
    </row>
    <row r="139" customFormat="false" ht="15" hidden="false" customHeight="true" outlineLevel="0" collapsed="false">
      <c r="A139" s="4" t="s">
        <v>114</v>
      </c>
      <c r="B139" s="4" t="s">
        <v>36</v>
      </c>
      <c r="C139" s="6" t="n">
        <v>20.267</v>
      </c>
      <c r="D139" s="17" t="s">
        <v>455</v>
      </c>
      <c r="E139" s="18" t="s">
        <v>508</v>
      </c>
    </row>
    <row r="140" customFormat="false" ht="15" hidden="false" customHeight="true" outlineLevel="0" collapsed="false">
      <c r="A140" s="4" t="s">
        <v>114</v>
      </c>
      <c r="B140" s="4" t="s">
        <v>36</v>
      </c>
      <c r="C140" s="6" t="n">
        <v>20.272</v>
      </c>
      <c r="D140" s="4" t="s">
        <v>460</v>
      </c>
      <c r="E140" s="18" t="s">
        <v>57</v>
      </c>
    </row>
    <row r="141" customFormat="false" ht="15" hidden="false" customHeight="true" outlineLevel="0" collapsed="false">
      <c r="A141" s="4" t="s">
        <v>114</v>
      </c>
      <c r="B141" s="4" t="s">
        <v>36</v>
      </c>
      <c r="C141" s="6" t="n">
        <v>20.34</v>
      </c>
      <c r="D141" s="4" t="s">
        <v>456</v>
      </c>
      <c r="E141" s="18" t="s">
        <v>464</v>
      </c>
    </row>
    <row r="142" customFormat="false" ht="15" hidden="false" customHeight="true" outlineLevel="0" collapsed="false">
      <c r="A142" s="4" t="s">
        <v>114</v>
      </c>
      <c r="B142" s="4" t="s">
        <v>36</v>
      </c>
      <c r="C142" s="6" t="n">
        <v>25.545</v>
      </c>
      <c r="D142" s="4" t="s">
        <v>456</v>
      </c>
      <c r="E142" s="18" t="s">
        <v>509</v>
      </c>
    </row>
    <row r="143" customFormat="false" ht="15" hidden="false" customHeight="true" outlineLevel="0" collapsed="false">
      <c r="A143" s="4" t="s">
        <v>114</v>
      </c>
      <c r="B143" s="4" t="s">
        <v>36</v>
      </c>
      <c r="C143" s="6" t="n">
        <v>30.954</v>
      </c>
      <c r="D143" s="17" t="s">
        <v>455</v>
      </c>
      <c r="E143" s="18" t="s">
        <v>510</v>
      </c>
    </row>
    <row r="144" customFormat="false" ht="15" hidden="false" customHeight="true" outlineLevel="0" collapsed="false">
      <c r="A144" s="4" t="s">
        <v>114</v>
      </c>
      <c r="B144" s="4" t="s">
        <v>36</v>
      </c>
      <c r="C144" s="6" t="n">
        <v>31.009</v>
      </c>
      <c r="D144" s="4" t="s">
        <v>460</v>
      </c>
      <c r="E144" s="18" t="s">
        <v>467</v>
      </c>
    </row>
    <row r="145" customFormat="false" ht="15" hidden="false" customHeight="true" outlineLevel="0" collapsed="false">
      <c r="A145" s="4" t="s">
        <v>114</v>
      </c>
      <c r="B145" s="4" t="s">
        <v>36</v>
      </c>
      <c r="C145" s="6" t="n">
        <v>31.121</v>
      </c>
      <c r="D145" s="4" t="s">
        <v>456</v>
      </c>
      <c r="E145" s="18" t="s">
        <v>468</v>
      </c>
    </row>
    <row r="146" customFormat="false" ht="15" hidden="false" customHeight="true" outlineLevel="0" collapsed="false">
      <c r="A146" s="4" t="s">
        <v>114</v>
      </c>
      <c r="B146" s="4" t="s">
        <v>36</v>
      </c>
      <c r="C146" s="6" t="n">
        <v>32.379</v>
      </c>
      <c r="D146" s="17" t="s">
        <v>455</v>
      </c>
      <c r="E146" s="18" t="s">
        <v>511</v>
      </c>
    </row>
    <row r="147" customFormat="false" ht="15" hidden="false" customHeight="true" outlineLevel="0" collapsed="false">
      <c r="A147" s="4" t="s">
        <v>114</v>
      </c>
      <c r="B147" s="4" t="s">
        <v>36</v>
      </c>
      <c r="C147" s="6" t="n">
        <v>33.457</v>
      </c>
      <c r="D147" s="4" t="s">
        <v>456</v>
      </c>
      <c r="E147" s="18" t="s">
        <v>512</v>
      </c>
    </row>
    <row r="148" customFormat="false" ht="15" hidden="false" customHeight="true" outlineLevel="0" collapsed="false">
      <c r="A148" s="4" t="s">
        <v>114</v>
      </c>
      <c r="B148" s="4" t="s">
        <v>36</v>
      </c>
      <c r="C148" s="6" t="n">
        <v>38.2</v>
      </c>
      <c r="D148" s="4" t="s">
        <v>456</v>
      </c>
      <c r="E148" s="18" t="s">
        <v>469</v>
      </c>
    </row>
    <row r="149" customFormat="false" ht="15" hidden="false" customHeight="true" outlineLevel="0" collapsed="false">
      <c r="A149" s="4" t="s">
        <v>114</v>
      </c>
      <c r="B149" s="4" t="s">
        <v>36</v>
      </c>
      <c r="C149" s="6" t="n">
        <v>44.484</v>
      </c>
      <c r="D149" s="17" t="s">
        <v>455</v>
      </c>
      <c r="E149" s="18" t="s">
        <v>513</v>
      </c>
    </row>
    <row r="150" customFormat="false" ht="15" hidden="false" customHeight="true" outlineLevel="0" collapsed="false">
      <c r="A150" s="4" t="s">
        <v>114</v>
      </c>
      <c r="B150" s="4" t="s">
        <v>36</v>
      </c>
      <c r="C150" s="6" t="n">
        <v>44.525</v>
      </c>
      <c r="D150" s="4" t="s">
        <v>460</v>
      </c>
      <c r="E150" s="18" t="s">
        <v>471</v>
      </c>
    </row>
    <row r="151" customFormat="false" ht="15" hidden="false" customHeight="true" outlineLevel="0" collapsed="false">
      <c r="A151" s="4" t="s">
        <v>114</v>
      </c>
      <c r="B151" s="4" t="s">
        <v>36</v>
      </c>
      <c r="C151" s="6" t="n">
        <v>44.543</v>
      </c>
      <c r="D151" s="4" t="s">
        <v>456</v>
      </c>
      <c r="E151" s="18" t="s">
        <v>472</v>
      </c>
    </row>
    <row r="152" customFormat="false" ht="15" hidden="false" customHeight="true" outlineLevel="0" collapsed="false">
      <c r="A152" s="4" t="s">
        <v>114</v>
      </c>
      <c r="B152" s="4" t="s">
        <v>36</v>
      </c>
      <c r="C152" s="6" t="n">
        <v>50.111</v>
      </c>
      <c r="D152" s="4" t="s">
        <v>456</v>
      </c>
      <c r="E152" s="18" t="s">
        <v>473</v>
      </c>
    </row>
    <row r="153" customFormat="false" ht="15" hidden="false" customHeight="true" outlineLevel="0" collapsed="false">
      <c r="A153" s="4" t="s">
        <v>118</v>
      </c>
      <c r="B153" s="4" t="s">
        <v>36</v>
      </c>
      <c r="C153" s="6" t="n">
        <v>13.177</v>
      </c>
      <c r="D153" s="17" t="s">
        <v>455</v>
      </c>
      <c r="E153" s="18" t="s">
        <v>119</v>
      </c>
    </row>
    <row r="154" customFormat="false" ht="15" hidden="false" customHeight="true" outlineLevel="0" collapsed="false">
      <c r="A154" s="4" t="s">
        <v>118</v>
      </c>
      <c r="B154" s="4" t="s">
        <v>36</v>
      </c>
      <c r="C154" s="6" t="n">
        <v>14.269</v>
      </c>
      <c r="D154" s="4" t="s">
        <v>460</v>
      </c>
      <c r="E154" s="18" t="s">
        <v>461</v>
      </c>
    </row>
    <row r="155" customFormat="false" ht="15" hidden="false" customHeight="true" outlineLevel="0" collapsed="false">
      <c r="A155" s="4" t="s">
        <v>118</v>
      </c>
      <c r="B155" s="4" t="s">
        <v>36</v>
      </c>
      <c r="C155" s="6" t="n">
        <v>16.125</v>
      </c>
      <c r="D155" s="4" t="s">
        <v>456</v>
      </c>
      <c r="E155" s="18" t="s">
        <v>462</v>
      </c>
    </row>
    <row r="156" customFormat="false" ht="15" hidden="false" customHeight="true" outlineLevel="0" collapsed="false">
      <c r="A156" s="4" t="s">
        <v>118</v>
      </c>
      <c r="B156" s="4" t="s">
        <v>36</v>
      </c>
      <c r="C156" s="6" t="n">
        <v>20.793</v>
      </c>
      <c r="D156" s="4" t="s">
        <v>456</v>
      </c>
      <c r="E156" s="18" t="s">
        <v>463</v>
      </c>
    </row>
    <row r="157" customFormat="false" ht="15" hidden="false" customHeight="true" outlineLevel="0" collapsed="false">
      <c r="A157" s="4" t="s">
        <v>118</v>
      </c>
      <c r="B157" s="4" t="s">
        <v>36</v>
      </c>
      <c r="C157" s="6" t="n">
        <v>29.586</v>
      </c>
      <c r="D157" s="17" t="s">
        <v>455</v>
      </c>
      <c r="E157" s="18" t="s">
        <v>514</v>
      </c>
    </row>
    <row r="158" customFormat="false" ht="15" hidden="false" customHeight="true" outlineLevel="0" collapsed="false">
      <c r="A158" s="4" t="s">
        <v>118</v>
      </c>
      <c r="B158" s="4" t="s">
        <v>36</v>
      </c>
      <c r="C158" s="6" t="n">
        <v>29.599</v>
      </c>
      <c r="D158" s="4" t="s">
        <v>460</v>
      </c>
      <c r="E158" s="18" t="s">
        <v>471</v>
      </c>
    </row>
    <row r="159" customFormat="false" ht="15" hidden="false" customHeight="true" outlineLevel="0" collapsed="false">
      <c r="A159" s="4" t="s">
        <v>118</v>
      </c>
      <c r="B159" s="4" t="s">
        <v>36</v>
      </c>
      <c r="C159" s="6" t="n">
        <v>29.641</v>
      </c>
      <c r="D159" s="4" t="s">
        <v>456</v>
      </c>
      <c r="E159" s="18" t="s">
        <v>472</v>
      </c>
    </row>
    <row r="160" customFormat="false" ht="15" hidden="false" customHeight="true" outlineLevel="0" collapsed="false">
      <c r="A160" s="4" t="s">
        <v>118</v>
      </c>
      <c r="B160" s="4" t="s">
        <v>36</v>
      </c>
      <c r="C160" s="6" t="n">
        <v>35.998</v>
      </c>
      <c r="D160" s="4" t="s">
        <v>456</v>
      </c>
      <c r="E160" s="18" t="s">
        <v>515</v>
      </c>
    </row>
    <row r="161" customFormat="false" ht="15" hidden="false" customHeight="true" outlineLevel="0" collapsed="false">
      <c r="A161" s="4" t="s">
        <v>118</v>
      </c>
      <c r="B161" s="4" t="s">
        <v>36</v>
      </c>
      <c r="C161" s="6" t="n">
        <v>42.728</v>
      </c>
      <c r="D161" s="17" t="s">
        <v>455</v>
      </c>
      <c r="E161" s="18" t="s">
        <v>516</v>
      </c>
    </row>
    <row r="162" customFormat="false" ht="15" hidden="false" customHeight="true" outlineLevel="0" collapsed="false">
      <c r="A162" s="4" t="s">
        <v>118</v>
      </c>
      <c r="B162" s="4" t="s">
        <v>36</v>
      </c>
      <c r="C162" s="6" t="n">
        <v>42.734</v>
      </c>
      <c r="D162" s="4" t="s">
        <v>460</v>
      </c>
      <c r="E162" s="18" t="s">
        <v>467</v>
      </c>
    </row>
    <row r="163" customFormat="false" ht="15" hidden="false" customHeight="true" outlineLevel="0" collapsed="false">
      <c r="A163" s="4" t="s">
        <v>118</v>
      </c>
      <c r="B163" s="4" t="s">
        <v>36</v>
      </c>
      <c r="C163" s="6" t="n">
        <v>42.76</v>
      </c>
      <c r="D163" s="4" t="s">
        <v>456</v>
      </c>
      <c r="E163" s="18" t="s">
        <v>468</v>
      </c>
    </row>
    <row r="164" customFormat="false" ht="15" hidden="false" customHeight="true" outlineLevel="0" collapsed="false">
      <c r="A164" s="4" t="s">
        <v>118</v>
      </c>
      <c r="B164" s="4" t="s">
        <v>36</v>
      </c>
      <c r="C164" s="6" t="n">
        <v>46.749</v>
      </c>
      <c r="D164" s="4" t="s">
        <v>456</v>
      </c>
      <c r="E164" s="18" t="s">
        <v>500</v>
      </c>
    </row>
    <row r="165" customFormat="false" ht="15" hidden="false" customHeight="true" outlineLevel="0" collapsed="false">
      <c r="A165" s="4" t="s">
        <v>122</v>
      </c>
      <c r="B165" s="4" t="s">
        <v>36</v>
      </c>
      <c r="C165" s="6" t="n">
        <v>12.249</v>
      </c>
      <c r="D165" s="17" t="s">
        <v>455</v>
      </c>
      <c r="E165" s="18" t="s">
        <v>124</v>
      </c>
    </row>
    <row r="166" customFormat="false" ht="15" hidden="false" customHeight="true" outlineLevel="0" collapsed="false">
      <c r="A166" s="4" t="s">
        <v>122</v>
      </c>
      <c r="B166" s="4" t="s">
        <v>36</v>
      </c>
      <c r="C166" s="6" t="n">
        <v>12.281</v>
      </c>
      <c r="D166" s="4" t="s">
        <v>460</v>
      </c>
      <c r="E166" s="18" t="s">
        <v>474</v>
      </c>
    </row>
    <row r="167" customFormat="false" ht="15" hidden="false" customHeight="true" outlineLevel="0" collapsed="false">
      <c r="A167" s="4" t="s">
        <v>122</v>
      </c>
      <c r="B167" s="4" t="s">
        <v>36</v>
      </c>
      <c r="C167" s="6" t="n">
        <v>12.311</v>
      </c>
      <c r="D167" s="4" t="s">
        <v>456</v>
      </c>
      <c r="E167" s="18" t="s">
        <v>475</v>
      </c>
    </row>
    <row r="168" customFormat="false" ht="15" hidden="false" customHeight="true" outlineLevel="0" collapsed="false">
      <c r="A168" s="4" t="s">
        <v>122</v>
      </c>
      <c r="B168" s="4" t="s">
        <v>36</v>
      </c>
      <c r="C168" s="6" t="n">
        <v>22.388</v>
      </c>
      <c r="D168" s="17" t="s">
        <v>455</v>
      </c>
      <c r="E168" s="18" t="s">
        <v>517</v>
      </c>
    </row>
    <row r="169" customFormat="false" ht="15" hidden="false" customHeight="true" outlineLevel="0" collapsed="false">
      <c r="A169" s="4" t="s">
        <v>122</v>
      </c>
      <c r="B169" s="4" t="s">
        <v>36</v>
      </c>
      <c r="C169" s="6" t="n">
        <v>23.176</v>
      </c>
      <c r="D169" s="4" t="s">
        <v>456</v>
      </c>
      <c r="E169" s="18" t="s">
        <v>518</v>
      </c>
    </row>
    <row r="170" customFormat="false" ht="15" hidden="false" customHeight="true" outlineLevel="0" collapsed="false">
      <c r="A170" s="4" t="s">
        <v>122</v>
      </c>
      <c r="B170" s="4" t="s">
        <v>36</v>
      </c>
      <c r="C170" s="6" t="n">
        <v>28.094</v>
      </c>
      <c r="D170" s="17" t="s">
        <v>455</v>
      </c>
      <c r="E170" s="18" t="s">
        <v>519</v>
      </c>
    </row>
    <row r="171" customFormat="false" ht="15" hidden="false" customHeight="true" outlineLevel="0" collapsed="false">
      <c r="A171" s="4" t="s">
        <v>122</v>
      </c>
      <c r="B171" s="4" t="s">
        <v>36</v>
      </c>
      <c r="C171" s="6" t="n">
        <v>29.136</v>
      </c>
      <c r="D171" s="4" t="s">
        <v>460</v>
      </c>
      <c r="E171" s="18" t="s">
        <v>477</v>
      </c>
    </row>
    <row r="172" customFormat="false" ht="15" hidden="false" customHeight="true" outlineLevel="0" collapsed="false">
      <c r="A172" s="4" t="s">
        <v>122</v>
      </c>
      <c r="B172" s="4" t="s">
        <v>36</v>
      </c>
      <c r="C172" s="6" t="n">
        <v>29.177</v>
      </c>
      <c r="D172" s="4" t="s">
        <v>456</v>
      </c>
      <c r="E172" s="18" t="s">
        <v>520</v>
      </c>
    </row>
    <row r="173" customFormat="false" ht="15" hidden="false" customHeight="true" outlineLevel="0" collapsed="false">
      <c r="A173" s="4" t="s">
        <v>122</v>
      </c>
      <c r="B173" s="4" t="s">
        <v>36</v>
      </c>
      <c r="C173" s="6" t="n">
        <v>32.741</v>
      </c>
      <c r="D173" s="4" t="s">
        <v>456</v>
      </c>
      <c r="E173" s="18" t="s">
        <v>479</v>
      </c>
    </row>
    <row r="174" customFormat="false" ht="15" hidden="false" customHeight="true" outlineLevel="0" collapsed="false">
      <c r="A174" s="4" t="s">
        <v>122</v>
      </c>
      <c r="B174" s="4" t="s">
        <v>36</v>
      </c>
      <c r="C174" s="6" t="n">
        <v>35.778</v>
      </c>
      <c r="D174" s="4" t="s">
        <v>456</v>
      </c>
      <c r="E174" s="18" t="s">
        <v>480</v>
      </c>
    </row>
    <row r="175" customFormat="false" ht="15" hidden="false" customHeight="true" outlineLevel="0" collapsed="false">
      <c r="A175" s="4" t="s">
        <v>122</v>
      </c>
      <c r="B175" s="4" t="s">
        <v>36</v>
      </c>
      <c r="C175" s="6" t="n">
        <v>42.866</v>
      </c>
      <c r="D175" s="17" t="s">
        <v>455</v>
      </c>
      <c r="E175" s="18" t="s">
        <v>521</v>
      </c>
    </row>
    <row r="176" customFormat="false" ht="15" hidden="false" customHeight="true" outlineLevel="0" collapsed="false">
      <c r="A176" s="4" t="s">
        <v>122</v>
      </c>
      <c r="B176" s="4" t="s">
        <v>36</v>
      </c>
      <c r="C176" s="6" t="n">
        <v>42.878</v>
      </c>
      <c r="D176" s="4" t="s">
        <v>460</v>
      </c>
      <c r="E176" s="18" t="s">
        <v>57</v>
      </c>
    </row>
    <row r="177" customFormat="false" ht="15" hidden="false" customHeight="true" outlineLevel="0" collapsed="false">
      <c r="A177" s="4" t="s">
        <v>122</v>
      </c>
      <c r="B177" s="4" t="s">
        <v>36</v>
      </c>
      <c r="C177" s="6" t="n">
        <v>42.97</v>
      </c>
      <c r="D177" s="4" t="s">
        <v>456</v>
      </c>
      <c r="E177" s="18" t="s">
        <v>464</v>
      </c>
    </row>
    <row r="178" customFormat="false" ht="15" hidden="false" customHeight="true" outlineLevel="0" collapsed="false">
      <c r="A178" s="4" t="s">
        <v>122</v>
      </c>
      <c r="B178" s="4" t="s">
        <v>36</v>
      </c>
      <c r="C178" s="6" t="n">
        <v>47.988</v>
      </c>
      <c r="D178" s="4" t="s">
        <v>456</v>
      </c>
      <c r="E178" s="18" t="s">
        <v>485</v>
      </c>
    </row>
    <row r="179" customFormat="false" ht="15" hidden="false" customHeight="true" outlineLevel="0" collapsed="false">
      <c r="A179" s="4" t="s">
        <v>122</v>
      </c>
      <c r="B179" s="4" t="s">
        <v>36</v>
      </c>
      <c r="C179" s="6" t="n">
        <v>53.31</v>
      </c>
      <c r="D179" s="17" t="s">
        <v>455</v>
      </c>
      <c r="E179" s="18" t="s">
        <v>522</v>
      </c>
    </row>
    <row r="180" customFormat="false" ht="15" hidden="false" customHeight="true" outlineLevel="0" collapsed="false">
      <c r="A180" s="4" t="s">
        <v>122</v>
      </c>
      <c r="B180" s="4" t="s">
        <v>36</v>
      </c>
      <c r="C180" s="6" t="n">
        <v>54.358</v>
      </c>
      <c r="D180" s="4" t="s">
        <v>460</v>
      </c>
      <c r="E180" s="18" t="s">
        <v>523</v>
      </c>
    </row>
    <row r="181" customFormat="false" ht="15" hidden="false" customHeight="true" outlineLevel="0" collapsed="false">
      <c r="A181" s="4" t="s">
        <v>122</v>
      </c>
      <c r="B181" s="4" t="s">
        <v>36</v>
      </c>
      <c r="C181" s="6" t="n">
        <v>54.987</v>
      </c>
      <c r="D181" s="4" t="s">
        <v>456</v>
      </c>
      <c r="E181" s="18" t="s">
        <v>524</v>
      </c>
    </row>
    <row r="182" customFormat="false" ht="15" hidden="false" customHeight="true" outlineLevel="0" collapsed="false">
      <c r="A182" s="4" t="s">
        <v>122</v>
      </c>
      <c r="B182" s="4" t="s">
        <v>36</v>
      </c>
      <c r="C182" s="6" t="n">
        <v>56.339</v>
      </c>
      <c r="D182" s="17" t="s">
        <v>455</v>
      </c>
      <c r="E182" s="18" t="s">
        <v>525</v>
      </c>
    </row>
    <row r="183" customFormat="false" ht="15" hidden="false" customHeight="true" outlineLevel="0" collapsed="false">
      <c r="A183" s="4" t="s">
        <v>122</v>
      </c>
      <c r="B183" s="4" t="s">
        <v>36</v>
      </c>
      <c r="C183" s="6" t="n">
        <v>57.084</v>
      </c>
      <c r="D183" s="4" t="s">
        <v>460</v>
      </c>
      <c r="E183" s="18" t="s">
        <v>71</v>
      </c>
    </row>
    <row r="184" customFormat="false" ht="15" hidden="false" customHeight="true" outlineLevel="0" collapsed="false">
      <c r="A184" s="4" t="s">
        <v>122</v>
      </c>
      <c r="B184" s="4" t="s">
        <v>36</v>
      </c>
      <c r="C184" s="6" t="n">
        <v>57.127</v>
      </c>
      <c r="D184" s="4" t="s">
        <v>456</v>
      </c>
      <c r="E184" s="18" t="s">
        <v>482</v>
      </c>
    </row>
    <row r="185" customFormat="false" ht="15" hidden="false" customHeight="true" outlineLevel="0" collapsed="false">
      <c r="A185" s="4" t="s">
        <v>122</v>
      </c>
      <c r="B185" s="4" t="s">
        <v>36</v>
      </c>
      <c r="C185" s="6" t="n">
        <v>64.463</v>
      </c>
      <c r="D185" s="4" t="s">
        <v>456</v>
      </c>
      <c r="E185" s="18" t="s">
        <v>483</v>
      </c>
    </row>
    <row r="186" customFormat="false" ht="15" hidden="false" customHeight="true" outlineLevel="0" collapsed="false">
      <c r="A186" s="4" t="s">
        <v>122</v>
      </c>
      <c r="B186" s="4" t="s">
        <v>36</v>
      </c>
      <c r="C186" s="6" t="n">
        <v>71.006</v>
      </c>
      <c r="D186" s="17" t="s">
        <v>455</v>
      </c>
      <c r="E186" s="18" t="s">
        <v>511</v>
      </c>
    </row>
    <row r="187" customFormat="false" ht="15" hidden="false" customHeight="true" outlineLevel="0" collapsed="false">
      <c r="A187" s="4" t="s">
        <v>122</v>
      </c>
      <c r="B187" s="4" t="s">
        <v>36</v>
      </c>
      <c r="C187" s="6" t="n">
        <v>71.01</v>
      </c>
      <c r="D187" s="4" t="s">
        <v>460</v>
      </c>
      <c r="E187" s="18" t="s">
        <v>467</v>
      </c>
    </row>
    <row r="188" customFormat="false" ht="15" hidden="false" customHeight="true" outlineLevel="0" collapsed="false">
      <c r="A188" s="4" t="s">
        <v>122</v>
      </c>
      <c r="B188" s="4" t="s">
        <v>36</v>
      </c>
      <c r="C188" s="6" t="n">
        <v>71.03</v>
      </c>
      <c r="D188" s="4" t="s">
        <v>456</v>
      </c>
      <c r="E188" s="18" t="s">
        <v>468</v>
      </c>
    </row>
    <row r="189" customFormat="false" ht="15" hidden="false" customHeight="true" outlineLevel="0" collapsed="false">
      <c r="A189" s="4" t="s">
        <v>122</v>
      </c>
      <c r="B189" s="4" t="s">
        <v>36</v>
      </c>
      <c r="C189" s="6" t="n">
        <v>74.694</v>
      </c>
      <c r="D189" s="4" t="s">
        <v>456</v>
      </c>
      <c r="E189" s="18" t="s">
        <v>469</v>
      </c>
    </row>
    <row r="190" customFormat="false" ht="15" hidden="false" customHeight="true" outlineLevel="0" collapsed="false">
      <c r="A190" s="4" t="s">
        <v>122</v>
      </c>
      <c r="B190" s="4" t="s">
        <v>36</v>
      </c>
      <c r="C190" s="6" t="n">
        <v>82.6</v>
      </c>
      <c r="D190" s="17" t="s">
        <v>455</v>
      </c>
      <c r="E190" s="18" t="s">
        <v>526</v>
      </c>
    </row>
    <row r="191" customFormat="false" ht="15" hidden="false" customHeight="true" outlineLevel="0" collapsed="false">
      <c r="A191" s="4" t="s">
        <v>122</v>
      </c>
      <c r="B191" s="4" t="s">
        <v>36</v>
      </c>
      <c r="C191" s="6" t="n">
        <v>83.666</v>
      </c>
      <c r="D191" s="4" t="s">
        <v>456</v>
      </c>
      <c r="E191" s="18" t="s">
        <v>527</v>
      </c>
    </row>
    <row r="192" customFormat="false" ht="15" hidden="false" customHeight="true" outlineLevel="0" collapsed="false">
      <c r="A192" s="4" t="s">
        <v>122</v>
      </c>
      <c r="B192" s="4" t="s">
        <v>36</v>
      </c>
      <c r="C192" s="6" t="n">
        <v>88.89</v>
      </c>
      <c r="D192" s="17" t="s">
        <v>455</v>
      </c>
      <c r="E192" s="18" t="s">
        <v>497</v>
      </c>
    </row>
    <row r="193" customFormat="false" ht="15" hidden="false" customHeight="true" outlineLevel="0" collapsed="false">
      <c r="A193" s="4" t="s">
        <v>122</v>
      </c>
      <c r="B193" s="4" t="s">
        <v>36</v>
      </c>
      <c r="C193" s="6" t="n">
        <v>88.903</v>
      </c>
      <c r="D193" s="4" t="s">
        <v>460</v>
      </c>
      <c r="E193" s="18" t="s">
        <v>471</v>
      </c>
    </row>
    <row r="194" customFormat="false" ht="15" hidden="false" customHeight="true" outlineLevel="0" collapsed="false">
      <c r="A194" s="4" t="s">
        <v>122</v>
      </c>
      <c r="B194" s="4" t="s">
        <v>36</v>
      </c>
      <c r="C194" s="6" t="n">
        <v>88.917</v>
      </c>
      <c r="D194" s="4" t="s">
        <v>456</v>
      </c>
      <c r="E194" s="18" t="s">
        <v>472</v>
      </c>
    </row>
    <row r="195" customFormat="false" ht="15" hidden="false" customHeight="true" outlineLevel="0" collapsed="false">
      <c r="A195" s="4" t="s">
        <v>122</v>
      </c>
      <c r="B195" s="4" t="s">
        <v>36</v>
      </c>
      <c r="C195" s="6" t="n">
        <v>93.491</v>
      </c>
      <c r="D195" s="4" t="s">
        <v>456</v>
      </c>
      <c r="E195" s="18" t="s">
        <v>473</v>
      </c>
    </row>
    <row r="196" customFormat="false" ht="15" hidden="false" customHeight="true" outlineLevel="0" collapsed="false">
      <c r="A196" s="4" t="s">
        <v>122</v>
      </c>
      <c r="B196" s="4" t="s">
        <v>36</v>
      </c>
      <c r="C196" s="6" t="n">
        <v>118.339</v>
      </c>
      <c r="D196" s="17" t="s">
        <v>455</v>
      </c>
      <c r="E196" s="18" t="s">
        <v>528</v>
      </c>
    </row>
    <row r="197" customFormat="false" ht="15" hidden="false" customHeight="true" outlineLevel="0" collapsed="false">
      <c r="A197" s="4" t="s">
        <v>122</v>
      </c>
      <c r="B197" s="4" t="s">
        <v>36</v>
      </c>
      <c r="C197" s="6" t="n">
        <v>119.336</v>
      </c>
      <c r="D197" s="4" t="s">
        <v>456</v>
      </c>
      <c r="E197" s="18" t="s">
        <v>529</v>
      </c>
    </row>
    <row r="198" customFormat="false" ht="15" hidden="false" customHeight="true" outlineLevel="0" collapsed="false">
      <c r="A198" s="4" t="s">
        <v>127</v>
      </c>
      <c r="B198" s="4" t="s">
        <v>36</v>
      </c>
      <c r="C198" s="6" t="n">
        <v>5.736</v>
      </c>
      <c r="D198" s="17" t="s">
        <v>455</v>
      </c>
      <c r="E198" s="18" t="s">
        <v>128</v>
      </c>
    </row>
    <row r="199" customFormat="false" ht="15" hidden="false" customHeight="true" outlineLevel="0" collapsed="false">
      <c r="A199" s="4" t="s">
        <v>127</v>
      </c>
      <c r="B199" s="4" t="s">
        <v>36</v>
      </c>
      <c r="C199" s="6" t="n">
        <v>7.072</v>
      </c>
      <c r="D199" s="4" t="s">
        <v>456</v>
      </c>
      <c r="E199" s="18" t="s">
        <v>530</v>
      </c>
    </row>
    <row r="200" customFormat="false" ht="15" hidden="false" customHeight="true" outlineLevel="0" collapsed="false">
      <c r="A200" s="4" t="s">
        <v>130</v>
      </c>
      <c r="B200" s="4" t="s">
        <v>36</v>
      </c>
      <c r="C200" s="6" t="n">
        <v>5.119</v>
      </c>
      <c r="D200" s="17" t="s">
        <v>455</v>
      </c>
      <c r="E200" s="18" t="s">
        <v>131</v>
      </c>
    </row>
    <row r="201" customFormat="false" ht="15" hidden="false" customHeight="true" outlineLevel="0" collapsed="false">
      <c r="A201" s="4" t="s">
        <v>130</v>
      </c>
      <c r="B201" s="4" t="s">
        <v>36</v>
      </c>
      <c r="C201" s="6" t="n">
        <v>5.125</v>
      </c>
      <c r="D201" s="4" t="s">
        <v>460</v>
      </c>
      <c r="E201" s="18" t="s">
        <v>531</v>
      </c>
    </row>
    <row r="202" customFormat="false" ht="15" hidden="false" customHeight="true" outlineLevel="0" collapsed="false">
      <c r="A202" s="4" t="s">
        <v>130</v>
      </c>
      <c r="B202" s="4" t="s">
        <v>36</v>
      </c>
      <c r="C202" s="6" t="n">
        <v>9.782</v>
      </c>
      <c r="D202" s="4" t="s">
        <v>456</v>
      </c>
      <c r="E202" s="18" t="s">
        <v>532</v>
      </c>
    </row>
    <row r="203" customFormat="false" ht="15" hidden="false" customHeight="true" outlineLevel="0" collapsed="false">
      <c r="A203" s="4" t="s">
        <v>134</v>
      </c>
      <c r="B203" s="4" t="s">
        <v>36</v>
      </c>
      <c r="C203" s="6" t="n">
        <v>4.226</v>
      </c>
      <c r="D203" s="17" t="s">
        <v>455</v>
      </c>
      <c r="E203" s="18" t="s">
        <v>135</v>
      </c>
    </row>
    <row r="204" customFormat="false" ht="15" hidden="false" customHeight="true" outlineLevel="0" collapsed="false">
      <c r="A204" s="4" t="s">
        <v>134</v>
      </c>
      <c r="B204" s="4" t="s">
        <v>36</v>
      </c>
      <c r="C204" s="6" t="n">
        <v>5.546</v>
      </c>
      <c r="D204" s="4" t="s">
        <v>460</v>
      </c>
      <c r="E204" s="18" t="s">
        <v>533</v>
      </c>
    </row>
    <row r="205" customFormat="false" ht="15" hidden="false" customHeight="true" outlineLevel="0" collapsed="false">
      <c r="A205" s="4" t="s">
        <v>134</v>
      </c>
      <c r="B205" s="4" t="s">
        <v>36</v>
      </c>
      <c r="C205" s="6" t="n">
        <v>7.143</v>
      </c>
      <c r="D205" s="4" t="s">
        <v>456</v>
      </c>
      <c r="E205" s="18" t="s">
        <v>494</v>
      </c>
    </row>
    <row r="206" customFormat="false" ht="15" hidden="false" customHeight="true" outlineLevel="0" collapsed="false">
      <c r="A206" s="4" t="s">
        <v>134</v>
      </c>
      <c r="B206" s="4" t="s">
        <v>36</v>
      </c>
      <c r="C206" s="6" t="n">
        <v>11.804</v>
      </c>
      <c r="D206" s="4" t="s">
        <v>456</v>
      </c>
      <c r="E206" s="18" t="s">
        <v>495</v>
      </c>
    </row>
    <row r="207" customFormat="false" ht="15" hidden="false" customHeight="true" outlineLevel="0" collapsed="false">
      <c r="A207" s="4" t="s">
        <v>134</v>
      </c>
      <c r="B207" s="4" t="s">
        <v>36</v>
      </c>
      <c r="C207" s="6" t="n">
        <v>20.351</v>
      </c>
      <c r="D207" s="17" t="s">
        <v>455</v>
      </c>
      <c r="E207" s="18" t="s">
        <v>534</v>
      </c>
    </row>
    <row r="208" customFormat="false" ht="15" hidden="false" customHeight="true" outlineLevel="0" collapsed="false">
      <c r="A208" s="4" t="s">
        <v>134</v>
      </c>
      <c r="B208" s="4" t="s">
        <v>36</v>
      </c>
      <c r="C208" s="6" t="n">
        <v>21.497</v>
      </c>
      <c r="D208" s="4" t="s">
        <v>460</v>
      </c>
      <c r="E208" s="18" t="s">
        <v>535</v>
      </c>
    </row>
    <row r="209" customFormat="false" ht="15" hidden="false" customHeight="true" outlineLevel="0" collapsed="false">
      <c r="A209" s="4" t="s">
        <v>134</v>
      </c>
      <c r="B209" s="4" t="s">
        <v>36</v>
      </c>
      <c r="C209" s="6" t="n">
        <v>21.679</v>
      </c>
      <c r="D209" s="4" t="s">
        <v>456</v>
      </c>
      <c r="E209" s="18" t="s">
        <v>472</v>
      </c>
    </row>
    <row r="210" customFormat="false" ht="15" hidden="false" customHeight="true" outlineLevel="0" collapsed="false">
      <c r="A210" s="4" t="s">
        <v>134</v>
      </c>
      <c r="B210" s="4" t="s">
        <v>36</v>
      </c>
      <c r="C210" s="6" t="n">
        <v>28.299</v>
      </c>
      <c r="D210" s="4" t="s">
        <v>456</v>
      </c>
      <c r="E210" s="18" t="s">
        <v>468</v>
      </c>
    </row>
    <row r="211" customFormat="false" ht="15" hidden="false" customHeight="true" outlineLevel="0" collapsed="false">
      <c r="A211" s="4" t="s">
        <v>134</v>
      </c>
      <c r="B211" s="4" t="s">
        <v>36</v>
      </c>
      <c r="C211" s="6" t="n">
        <v>32.321</v>
      </c>
      <c r="D211" s="4" t="s">
        <v>456</v>
      </c>
      <c r="E211" s="18" t="s">
        <v>500</v>
      </c>
    </row>
    <row r="212" customFormat="false" ht="15" hidden="false" customHeight="true" outlineLevel="0" collapsed="false">
      <c r="A212" s="4" t="s">
        <v>138</v>
      </c>
      <c r="B212" s="4" t="s">
        <v>36</v>
      </c>
      <c r="C212" s="6" t="n">
        <v>4.459</v>
      </c>
      <c r="D212" s="17" t="s">
        <v>455</v>
      </c>
      <c r="E212" s="18" t="s">
        <v>69</v>
      </c>
    </row>
    <row r="213" customFormat="false" ht="15" hidden="false" customHeight="true" outlineLevel="0" collapsed="false">
      <c r="A213" s="4" t="s">
        <v>138</v>
      </c>
      <c r="B213" s="4" t="s">
        <v>36</v>
      </c>
      <c r="C213" s="6" t="n">
        <v>4.678</v>
      </c>
      <c r="D213" s="4" t="s">
        <v>460</v>
      </c>
      <c r="E213" s="18" t="s">
        <v>474</v>
      </c>
    </row>
    <row r="214" customFormat="false" ht="15" hidden="false" customHeight="true" outlineLevel="0" collapsed="false">
      <c r="A214" s="4" t="s">
        <v>138</v>
      </c>
      <c r="B214" s="4" t="s">
        <v>36</v>
      </c>
      <c r="C214" s="6" t="n">
        <v>4.706</v>
      </c>
      <c r="D214" s="4" t="s">
        <v>456</v>
      </c>
      <c r="E214" s="18" t="s">
        <v>475</v>
      </c>
    </row>
    <row r="215" customFormat="false" ht="15" hidden="false" customHeight="true" outlineLevel="0" collapsed="false">
      <c r="A215" s="4" t="s">
        <v>138</v>
      </c>
      <c r="B215" s="4" t="s">
        <v>36</v>
      </c>
      <c r="C215" s="6" t="n">
        <v>13.699</v>
      </c>
      <c r="D215" s="17" t="s">
        <v>455</v>
      </c>
      <c r="E215" s="18" t="s">
        <v>536</v>
      </c>
    </row>
    <row r="216" customFormat="false" ht="15" hidden="false" customHeight="true" outlineLevel="0" collapsed="false">
      <c r="A216" s="4" t="s">
        <v>138</v>
      </c>
      <c r="B216" s="4" t="s">
        <v>36</v>
      </c>
      <c r="C216" s="6" t="n">
        <v>14.821</v>
      </c>
      <c r="D216" s="4" t="s">
        <v>460</v>
      </c>
      <c r="E216" s="18" t="s">
        <v>505</v>
      </c>
    </row>
    <row r="217" customFormat="false" ht="15" hidden="false" customHeight="true" outlineLevel="0" collapsed="false">
      <c r="A217" s="4" t="s">
        <v>138</v>
      </c>
      <c r="B217" s="4" t="s">
        <v>36</v>
      </c>
      <c r="C217" s="6" t="n">
        <v>14.898</v>
      </c>
      <c r="D217" s="4" t="s">
        <v>456</v>
      </c>
      <c r="E217" s="18" t="s">
        <v>537</v>
      </c>
    </row>
    <row r="218" customFormat="false" ht="15" hidden="false" customHeight="true" outlineLevel="0" collapsed="false">
      <c r="A218" s="4" t="s">
        <v>138</v>
      </c>
      <c r="B218" s="4" t="s">
        <v>36</v>
      </c>
      <c r="C218" s="6" t="n">
        <v>17.666</v>
      </c>
      <c r="D218" s="4" t="s">
        <v>456</v>
      </c>
      <c r="E218" s="18" t="s">
        <v>479</v>
      </c>
    </row>
    <row r="219" customFormat="false" ht="15" hidden="false" customHeight="true" outlineLevel="0" collapsed="false">
      <c r="A219" s="4" t="s">
        <v>138</v>
      </c>
      <c r="B219" s="4" t="s">
        <v>36</v>
      </c>
      <c r="C219" s="6" t="n">
        <v>20.784</v>
      </c>
      <c r="D219" s="4" t="s">
        <v>456</v>
      </c>
      <c r="E219" s="18" t="s">
        <v>480</v>
      </c>
    </row>
    <row r="220" customFormat="false" ht="15" hidden="false" customHeight="true" outlineLevel="0" collapsed="false">
      <c r="A220" s="4" t="s">
        <v>138</v>
      </c>
      <c r="B220" s="4" t="s">
        <v>36</v>
      </c>
      <c r="C220" s="6" t="n">
        <v>26.7</v>
      </c>
      <c r="D220" s="17" t="s">
        <v>455</v>
      </c>
      <c r="E220" s="18" t="s">
        <v>496</v>
      </c>
    </row>
    <row r="221" customFormat="false" ht="15" hidden="false" customHeight="true" outlineLevel="0" collapsed="false">
      <c r="A221" s="4" t="s">
        <v>138</v>
      </c>
      <c r="B221" s="4" t="s">
        <v>36</v>
      </c>
      <c r="C221" s="6" t="n">
        <v>26.704</v>
      </c>
      <c r="D221" s="4" t="s">
        <v>460</v>
      </c>
      <c r="E221" s="18" t="s">
        <v>471</v>
      </c>
    </row>
    <row r="222" customFormat="false" ht="15" hidden="false" customHeight="true" outlineLevel="0" collapsed="false">
      <c r="A222" s="4" t="s">
        <v>138</v>
      </c>
      <c r="B222" s="4" t="s">
        <v>36</v>
      </c>
      <c r="C222" s="6" t="n">
        <v>26.908</v>
      </c>
      <c r="D222" s="4" t="s">
        <v>456</v>
      </c>
      <c r="E222" s="18" t="s">
        <v>472</v>
      </c>
    </row>
    <row r="223" customFormat="false" ht="15" hidden="false" customHeight="true" outlineLevel="0" collapsed="false">
      <c r="A223" s="4" t="s">
        <v>138</v>
      </c>
      <c r="B223" s="4" t="s">
        <v>36</v>
      </c>
      <c r="C223" s="6" t="n">
        <v>33.486</v>
      </c>
      <c r="D223" s="4" t="s">
        <v>456</v>
      </c>
      <c r="E223" s="18" t="s">
        <v>507</v>
      </c>
    </row>
    <row r="224" customFormat="false" ht="15" hidden="false" customHeight="true" outlineLevel="0" collapsed="false">
      <c r="A224" s="4" t="s">
        <v>138</v>
      </c>
      <c r="B224" s="4" t="s">
        <v>36</v>
      </c>
      <c r="C224" s="6" t="n">
        <v>41.951</v>
      </c>
      <c r="D224" s="17" t="s">
        <v>455</v>
      </c>
      <c r="E224" s="18" t="s">
        <v>484</v>
      </c>
    </row>
    <row r="225" customFormat="false" ht="15" hidden="false" customHeight="true" outlineLevel="0" collapsed="false">
      <c r="A225" s="4" t="s">
        <v>138</v>
      </c>
      <c r="B225" s="4" t="s">
        <v>36</v>
      </c>
      <c r="C225" s="6" t="n">
        <v>42.147</v>
      </c>
      <c r="D225" s="4" t="s">
        <v>460</v>
      </c>
      <c r="E225" s="18" t="s">
        <v>467</v>
      </c>
    </row>
    <row r="226" customFormat="false" ht="15" hidden="false" customHeight="true" outlineLevel="0" collapsed="false">
      <c r="A226" s="4" t="s">
        <v>138</v>
      </c>
      <c r="B226" s="4" t="s">
        <v>36</v>
      </c>
      <c r="C226" s="6" t="n">
        <v>42.214</v>
      </c>
      <c r="D226" s="4" t="s">
        <v>456</v>
      </c>
      <c r="E226" s="18" t="s">
        <v>468</v>
      </c>
    </row>
    <row r="227" customFormat="false" ht="15" hidden="false" customHeight="true" outlineLevel="0" collapsed="false">
      <c r="A227" s="4" t="s">
        <v>138</v>
      </c>
      <c r="B227" s="4" t="s">
        <v>36</v>
      </c>
      <c r="C227" s="6" t="n">
        <v>46.161</v>
      </c>
      <c r="D227" s="4" t="s">
        <v>456</v>
      </c>
      <c r="E227" s="18" t="s">
        <v>500</v>
      </c>
    </row>
    <row r="228" customFormat="false" ht="15" hidden="false" customHeight="true" outlineLevel="0" collapsed="false">
      <c r="A228" s="4" t="s">
        <v>141</v>
      </c>
      <c r="B228" s="4" t="s">
        <v>36</v>
      </c>
      <c r="C228" s="6" t="n">
        <v>4.322</v>
      </c>
      <c r="D228" s="17" t="s">
        <v>455</v>
      </c>
      <c r="E228" s="18" t="s">
        <v>69</v>
      </c>
    </row>
    <row r="229" customFormat="false" ht="15" hidden="false" customHeight="true" outlineLevel="0" collapsed="false">
      <c r="A229" s="4" t="s">
        <v>141</v>
      </c>
      <c r="B229" s="4" t="s">
        <v>36</v>
      </c>
      <c r="C229" s="6" t="n">
        <v>4.33</v>
      </c>
      <c r="D229" s="4" t="s">
        <v>460</v>
      </c>
      <c r="E229" s="18" t="s">
        <v>474</v>
      </c>
    </row>
    <row r="230" customFormat="false" ht="15" hidden="false" customHeight="true" outlineLevel="0" collapsed="false">
      <c r="A230" s="4" t="s">
        <v>141</v>
      </c>
      <c r="B230" s="4" t="s">
        <v>36</v>
      </c>
      <c r="C230" s="6" t="n">
        <v>4.397</v>
      </c>
      <c r="D230" s="4" t="s">
        <v>456</v>
      </c>
      <c r="E230" s="18" t="s">
        <v>475</v>
      </c>
    </row>
    <row r="231" customFormat="false" ht="15" hidden="false" customHeight="true" outlineLevel="0" collapsed="false">
      <c r="A231" s="4" t="s">
        <v>141</v>
      </c>
      <c r="B231" s="4" t="s">
        <v>36</v>
      </c>
      <c r="C231" s="6" t="n">
        <v>11.184</v>
      </c>
      <c r="D231" s="4" t="s">
        <v>456</v>
      </c>
      <c r="E231" s="18" t="s">
        <v>538</v>
      </c>
    </row>
    <row r="232" customFormat="false" ht="15" hidden="false" customHeight="true" outlineLevel="0" collapsed="false">
      <c r="A232" s="4" t="s">
        <v>141</v>
      </c>
      <c r="B232" s="4" t="s">
        <v>36</v>
      </c>
      <c r="C232" s="6" t="n">
        <v>17.2</v>
      </c>
      <c r="D232" s="17" t="s">
        <v>455</v>
      </c>
      <c r="E232" s="18" t="s">
        <v>539</v>
      </c>
    </row>
    <row r="233" customFormat="false" ht="15" hidden="false" customHeight="true" outlineLevel="0" collapsed="false">
      <c r="A233" s="4" t="s">
        <v>141</v>
      </c>
      <c r="B233" s="4" t="s">
        <v>36</v>
      </c>
      <c r="C233" s="6" t="n">
        <v>18.698</v>
      </c>
      <c r="D233" s="4" t="s">
        <v>456</v>
      </c>
      <c r="E233" s="18" t="s">
        <v>540</v>
      </c>
    </row>
    <row r="234" customFormat="false" ht="15" hidden="false" customHeight="true" outlineLevel="0" collapsed="false">
      <c r="A234" s="4" t="s">
        <v>141</v>
      </c>
      <c r="B234" s="4" t="s">
        <v>36</v>
      </c>
      <c r="C234" s="6" t="n">
        <v>24.849</v>
      </c>
      <c r="D234" s="17" t="s">
        <v>455</v>
      </c>
      <c r="E234" s="18" t="s">
        <v>541</v>
      </c>
    </row>
    <row r="235" customFormat="false" ht="15" hidden="false" customHeight="true" outlineLevel="0" collapsed="false">
      <c r="A235" s="4" t="s">
        <v>141</v>
      </c>
      <c r="B235" s="4" t="s">
        <v>36</v>
      </c>
      <c r="C235" s="6" t="n">
        <v>24.875</v>
      </c>
      <c r="D235" s="4" t="s">
        <v>460</v>
      </c>
      <c r="E235" s="18" t="s">
        <v>542</v>
      </c>
    </row>
    <row r="236" customFormat="false" ht="15" hidden="false" customHeight="true" outlineLevel="0" collapsed="false">
      <c r="A236" s="4" t="s">
        <v>141</v>
      </c>
      <c r="B236" s="4" t="s">
        <v>36</v>
      </c>
      <c r="C236" s="6" t="n">
        <v>25.268</v>
      </c>
      <c r="D236" s="4" t="s">
        <v>456</v>
      </c>
      <c r="E236" s="18" t="s">
        <v>543</v>
      </c>
    </row>
    <row r="237" customFormat="false" ht="15" hidden="false" customHeight="true" outlineLevel="0" collapsed="false">
      <c r="A237" s="4" t="s">
        <v>141</v>
      </c>
      <c r="B237" s="4" t="s">
        <v>36</v>
      </c>
      <c r="C237" s="6" t="n">
        <v>27.324</v>
      </c>
      <c r="D237" s="17" t="s">
        <v>455</v>
      </c>
      <c r="E237" s="18" t="s">
        <v>544</v>
      </c>
    </row>
    <row r="238" customFormat="false" ht="15" hidden="false" customHeight="true" outlineLevel="0" collapsed="false">
      <c r="A238" s="4" t="s">
        <v>141</v>
      </c>
      <c r="B238" s="4" t="s">
        <v>36</v>
      </c>
      <c r="C238" s="6" t="n">
        <v>28.372</v>
      </c>
      <c r="D238" s="4" t="s">
        <v>460</v>
      </c>
      <c r="E238" s="18" t="s">
        <v>545</v>
      </c>
    </row>
    <row r="239" customFormat="false" ht="15" hidden="false" customHeight="true" outlineLevel="0" collapsed="false">
      <c r="A239" s="4" t="s">
        <v>141</v>
      </c>
      <c r="B239" s="4" t="s">
        <v>36</v>
      </c>
      <c r="C239" s="6" t="n">
        <v>28.994</v>
      </c>
      <c r="D239" s="4" t="s">
        <v>456</v>
      </c>
      <c r="E239" s="18" t="s">
        <v>546</v>
      </c>
    </row>
    <row r="240" customFormat="false" ht="15" hidden="false" customHeight="true" outlineLevel="0" collapsed="false">
      <c r="A240" s="4" t="s">
        <v>141</v>
      </c>
      <c r="B240" s="4" t="s">
        <v>36</v>
      </c>
      <c r="C240" s="6" t="n">
        <v>31.772</v>
      </c>
      <c r="D240" s="4" t="s">
        <v>456</v>
      </c>
      <c r="E240" s="18" t="s">
        <v>479</v>
      </c>
    </row>
    <row r="241" customFormat="false" ht="15" hidden="false" customHeight="true" outlineLevel="0" collapsed="false">
      <c r="A241" s="4" t="s">
        <v>141</v>
      </c>
      <c r="B241" s="4" t="s">
        <v>36</v>
      </c>
      <c r="C241" s="6" t="n">
        <v>34.822</v>
      </c>
      <c r="D241" s="4" t="s">
        <v>456</v>
      </c>
      <c r="E241" s="18" t="s">
        <v>480</v>
      </c>
    </row>
    <row r="242" customFormat="false" ht="15" hidden="false" customHeight="true" outlineLevel="0" collapsed="false">
      <c r="A242" s="4" t="s">
        <v>141</v>
      </c>
      <c r="B242" s="4" t="s">
        <v>36</v>
      </c>
      <c r="C242" s="6" t="n">
        <v>42.401</v>
      </c>
      <c r="D242" s="17" t="s">
        <v>455</v>
      </c>
      <c r="E242" s="18" t="s">
        <v>86</v>
      </c>
    </row>
    <row r="243" customFormat="false" ht="15" hidden="false" customHeight="true" outlineLevel="0" collapsed="false">
      <c r="A243" s="4" t="s">
        <v>141</v>
      </c>
      <c r="B243" s="4" t="s">
        <v>36</v>
      </c>
      <c r="C243" s="6" t="n">
        <v>42.679</v>
      </c>
      <c r="D243" s="4" t="s">
        <v>460</v>
      </c>
      <c r="E243" s="18" t="s">
        <v>57</v>
      </c>
    </row>
    <row r="244" customFormat="false" ht="15" hidden="false" customHeight="true" outlineLevel="0" collapsed="false">
      <c r="A244" s="4" t="s">
        <v>141</v>
      </c>
      <c r="B244" s="4" t="s">
        <v>36</v>
      </c>
      <c r="C244" s="6" t="n">
        <v>42.885</v>
      </c>
      <c r="D244" s="4" t="s">
        <v>456</v>
      </c>
      <c r="E244" s="18" t="s">
        <v>464</v>
      </c>
    </row>
    <row r="245" customFormat="false" ht="15" hidden="false" customHeight="true" outlineLevel="0" collapsed="false">
      <c r="A245" s="4" t="s">
        <v>141</v>
      </c>
      <c r="B245" s="4" t="s">
        <v>36</v>
      </c>
      <c r="C245" s="6" t="n">
        <v>48.684</v>
      </c>
      <c r="D245" s="4" t="s">
        <v>456</v>
      </c>
      <c r="E245" s="18" t="s">
        <v>485</v>
      </c>
    </row>
    <row r="246" customFormat="false" ht="15" hidden="false" customHeight="true" outlineLevel="0" collapsed="false">
      <c r="A246" s="4" t="s">
        <v>141</v>
      </c>
      <c r="B246" s="4" t="s">
        <v>36</v>
      </c>
      <c r="C246" s="6" t="n">
        <v>58.531</v>
      </c>
      <c r="D246" s="17" t="s">
        <v>455</v>
      </c>
      <c r="E246" s="18" t="s">
        <v>547</v>
      </c>
    </row>
    <row r="247" customFormat="false" ht="15" hidden="false" customHeight="true" outlineLevel="0" collapsed="false">
      <c r="A247" s="4" t="s">
        <v>141</v>
      </c>
      <c r="B247" s="4" t="s">
        <v>36</v>
      </c>
      <c r="C247" s="6" t="n">
        <v>58.66</v>
      </c>
      <c r="D247" s="4" t="s">
        <v>460</v>
      </c>
      <c r="E247" s="18" t="s">
        <v>503</v>
      </c>
    </row>
    <row r="248" customFormat="false" ht="15" hidden="false" customHeight="true" outlineLevel="0" collapsed="false">
      <c r="A248" s="4" t="s">
        <v>141</v>
      </c>
      <c r="B248" s="4" t="s">
        <v>36</v>
      </c>
      <c r="C248" s="6" t="n">
        <v>58.717</v>
      </c>
      <c r="D248" s="4" t="s">
        <v>456</v>
      </c>
      <c r="E248" s="18" t="s">
        <v>468</v>
      </c>
    </row>
    <row r="249" customFormat="false" ht="15" hidden="false" customHeight="true" outlineLevel="0" collapsed="false">
      <c r="A249" s="4" t="s">
        <v>141</v>
      </c>
      <c r="B249" s="4" t="s">
        <v>36</v>
      </c>
      <c r="C249" s="6" t="n">
        <v>67.202</v>
      </c>
      <c r="D249" s="4" t="s">
        <v>456</v>
      </c>
      <c r="E249" s="18" t="s">
        <v>473</v>
      </c>
    </row>
    <row r="250" customFormat="false" ht="15" hidden="false" customHeight="true" outlineLevel="0" collapsed="false">
      <c r="A250" s="4" t="s">
        <v>145</v>
      </c>
      <c r="B250" s="4" t="s">
        <v>36</v>
      </c>
      <c r="C250" s="6" t="n">
        <v>9.314</v>
      </c>
      <c r="D250" s="4" t="s">
        <v>456</v>
      </c>
      <c r="E250" s="18" t="s">
        <v>548</v>
      </c>
    </row>
    <row r="251" customFormat="false" ht="15" hidden="false" customHeight="true" outlineLevel="0" collapsed="false">
      <c r="A251" s="4" t="s">
        <v>145</v>
      </c>
      <c r="B251" s="4" t="s">
        <v>36</v>
      </c>
      <c r="C251" s="6" t="n">
        <v>20.203</v>
      </c>
      <c r="D251" s="17" t="s">
        <v>455</v>
      </c>
      <c r="E251" s="18" t="s">
        <v>146</v>
      </c>
    </row>
    <row r="252" customFormat="false" ht="15" hidden="false" customHeight="true" outlineLevel="0" collapsed="false">
      <c r="A252" s="4" t="s">
        <v>145</v>
      </c>
      <c r="B252" s="4" t="s">
        <v>36</v>
      </c>
      <c r="C252" s="6" t="n">
        <v>20.245</v>
      </c>
      <c r="D252" s="4" t="s">
        <v>460</v>
      </c>
      <c r="E252" s="18" t="s">
        <v>549</v>
      </c>
    </row>
    <row r="253" customFormat="false" ht="15" hidden="false" customHeight="true" outlineLevel="0" collapsed="false">
      <c r="A253" s="4" t="s">
        <v>145</v>
      </c>
      <c r="B253" s="4" t="s">
        <v>36</v>
      </c>
      <c r="C253" s="6" t="n">
        <v>21.004</v>
      </c>
      <c r="D253" s="4" t="s">
        <v>456</v>
      </c>
      <c r="E253" s="18" t="s">
        <v>462</v>
      </c>
    </row>
    <row r="254" customFormat="false" ht="15" hidden="false" customHeight="true" outlineLevel="0" collapsed="false">
      <c r="A254" s="4" t="s">
        <v>145</v>
      </c>
      <c r="B254" s="4" t="s">
        <v>36</v>
      </c>
      <c r="C254" s="6" t="n">
        <v>25.638</v>
      </c>
      <c r="D254" s="4" t="s">
        <v>456</v>
      </c>
      <c r="E254" s="18" t="s">
        <v>463</v>
      </c>
    </row>
    <row r="255" customFormat="false" ht="15" hidden="false" customHeight="true" outlineLevel="0" collapsed="false">
      <c r="A255" s="4" t="s">
        <v>145</v>
      </c>
      <c r="B255" s="4" t="s">
        <v>36</v>
      </c>
      <c r="C255" s="6" t="n">
        <v>34.689</v>
      </c>
      <c r="D255" s="17" t="s">
        <v>455</v>
      </c>
      <c r="E255" s="18" t="s">
        <v>550</v>
      </c>
    </row>
    <row r="256" customFormat="false" ht="15" hidden="false" customHeight="true" outlineLevel="0" collapsed="false">
      <c r="A256" s="4" t="s">
        <v>145</v>
      </c>
      <c r="B256" s="4" t="s">
        <v>36</v>
      </c>
      <c r="C256" s="6" t="n">
        <v>34.693</v>
      </c>
      <c r="D256" s="4" t="s">
        <v>460</v>
      </c>
      <c r="E256" s="18" t="s">
        <v>551</v>
      </c>
    </row>
    <row r="257" customFormat="false" ht="15" hidden="false" customHeight="true" outlineLevel="0" collapsed="false">
      <c r="A257" s="4" t="s">
        <v>145</v>
      </c>
      <c r="B257" s="4" t="s">
        <v>36</v>
      </c>
      <c r="C257" s="6" t="n">
        <v>34.862</v>
      </c>
      <c r="D257" s="4" t="s">
        <v>456</v>
      </c>
      <c r="E257" s="18" t="s">
        <v>464</v>
      </c>
    </row>
    <row r="258" customFormat="false" ht="15" hidden="false" customHeight="true" outlineLevel="0" collapsed="false">
      <c r="A258" s="4" t="s">
        <v>145</v>
      </c>
      <c r="B258" s="4" t="s">
        <v>36</v>
      </c>
      <c r="C258" s="6" t="n">
        <v>39.808</v>
      </c>
      <c r="D258" s="4" t="s">
        <v>456</v>
      </c>
      <c r="E258" s="18" t="s">
        <v>468</v>
      </c>
    </row>
    <row r="259" customFormat="false" ht="15" hidden="false" customHeight="true" outlineLevel="0" collapsed="false">
      <c r="A259" s="4" t="s">
        <v>145</v>
      </c>
      <c r="B259" s="4" t="s">
        <v>36</v>
      </c>
      <c r="C259" s="6" t="n">
        <v>48.408</v>
      </c>
      <c r="D259" s="4" t="s">
        <v>456</v>
      </c>
      <c r="E259" s="18" t="s">
        <v>473</v>
      </c>
    </row>
    <row r="260" customFormat="false" ht="15" hidden="false" customHeight="true" outlineLevel="0" collapsed="false">
      <c r="A260" s="4" t="s">
        <v>149</v>
      </c>
      <c r="B260" s="4" t="s">
        <v>36</v>
      </c>
      <c r="C260" s="6" t="n">
        <v>6.378</v>
      </c>
      <c r="D260" s="17" t="s">
        <v>455</v>
      </c>
      <c r="E260" s="18" t="s">
        <v>152</v>
      </c>
    </row>
    <row r="261" customFormat="false" ht="15" hidden="false" customHeight="true" outlineLevel="0" collapsed="false">
      <c r="A261" s="4" t="s">
        <v>149</v>
      </c>
      <c r="B261" s="4" t="s">
        <v>36</v>
      </c>
      <c r="C261" s="6" t="n">
        <v>7.812</v>
      </c>
      <c r="D261" s="4" t="s">
        <v>460</v>
      </c>
      <c r="E261" s="18" t="s">
        <v>552</v>
      </c>
    </row>
    <row r="262" customFormat="false" ht="15" hidden="false" customHeight="true" outlineLevel="0" collapsed="false">
      <c r="A262" s="4" t="s">
        <v>149</v>
      </c>
      <c r="B262" s="4" t="s">
        <v>36</v>
      </c>
      <c r="C262" s="6" t="n">
        <v>8.017</v>
      </c>
      <c r="D262" s="4" t="s">
        <v>460</v>
      </c>
      <c r="E262" s="18" t="s">
        <v>553</v>
      </c>
    </row>
    <row r="263" customFormat="false" ht="15" hidden="false" customHeight="true" outlineLevel="0" collapsed="false">
      <c r="A263" s="4" t="s">
        <v>149</v>
      </c>
      <c r="B263" s="4" t="s">
        <v>36</v>
      </c>
      <c r="C263" s="6" t="n">
        <v>8.047</v>
      </c>
      <c r="D263" s="4" t="s">
        <v>460</v>
      </c>
      <c r="E263" s="18" t="s">
        <v>471</v>
      </c>
    </row>
    <row r="264" customFormat="false" ht="15" hidden="false" customHeight="true" outlineLevel="0" collapsed="false">
      <c r="A264" s="4" t="s">
        <v>149</v>
      </c>
      <c r="B264" s="4" t="s">
        <v>36</v>
      </c>
      <c r="C264" s="6" t="n">
        <v>9.268</v>
      </c>
      <c r="D264" s="4" t="s">
        <v>456</v>
      </c>
      <c r="E264" s="18" t="s">
        <v>554</v>
      </c>
    </row>
    <row r="265" customFormat="false" ht="15" hidden="false" customHeight="true" outlineLevel="0" collapsed="false">
      <c r="A265" s="4" t="s">
        <v>154</v>
      </c>
      <c r="B265" s="4" t="s">
        <v>155</v>
      </c>
      <c r="C265" s="6" t="n">
        <v>7.281</v>
      </c>
      <c r="D265" s="17" t="s">
        <v>455</v>
      </c>
      <c r="E265" s="18" t="s">
        <v>156</v>
      </c>
    </row>
    <row r="266" customFormat="false" ht="15" hidden="false" customHeight="true" outlineLevel="0" collapsed="false">
      <c r="A266" s="4" t="s">
        <v>154</v>
      </c>
      <c r="B266" s="4" t="s">
        <v>155</v>
      </c>
      <c r="C266" s="6" t="n">
        <v>10.021</v>
      </c>
      <c r="D266" s="4" t="s">
        <v>460</v>
      </c>
      <c r="E266" s="18" t="s">
        <v>553</v>
      </c>
    </row>
    <row r="267" customFormat="false" ht="15" hidden="false" customHeight="true" outlineLevel="0" collapsed="false">
      <c r="A267" s="4" t="s">
        <v>154</v>
      </c>
      <c r="B267" s="4" t="s">
        <v>155</v>
      </c>
      <c r="C267" s="6" t="n">
        <v>10.029</v>
      </c>
      <c r="D267" s="4" t="s">
        <v>460</v>
      </c>
      <c r="E267" s="18" t="s">
        <v>471</v>
      </c>
    </row>
    <row r="268" customFormat="false" ht="15" hidden="false" customHeight="true" outlineLevel="0" collapsed="false">
      <c r="A268" s="4" t="s">
        <v>154</v>
      </c>
      <c r="B268" s="4" t="s">
        <v>155</v>
      </c>
      <c r="C268" s="6" t="n">
        <v>11.475</v>
      </c>
      <c r="D268" s="4" t="s">
        <v>456</v>
      </c>
      <c r="E268" s="18" t="s">
        <v>555</v>
      </c>
    </row>
    <row r="269" customFormat="false" ht="15" hidden="false" customHeight="true" outlineLevel="0" collapsed="false">
      <c r="A269" s="4" t="s">
        <v>154</v>
      </c>
      <c r="B269" s="4" t="s">
        <v>155</v>
      </c>
      <c r="C269" s="6" t="n">
        <v>13.428</v>
      </c>
      <c r="D269" s="4" t="s">
        <v>456</v>
      </c>
      <c r="E269" s="18" t="s">
        <v>472</v>
      </c>
    </row>
    <row r="270" customFormat="false" ht="15" hidden="false" customHeight="true" outlineLevel="0" collapsed="false">
      <c r="A270" s="4" t="s">
        <v>154</v>
      </c>
      <c r="B270" s="4" t="s">
        <v>155</v>
      </c>
      <c r="C270" s="6" t="n">
        <v>26.244</v>
      </c>
      <c r="D270" s="17" t="s">
        <v>455</v>
      </c>
      <c r="E270" s="18" t="s">
        <v>556</v>
      </c>
    </row>
    <row r="271" customFormat="false" ht="15" hidden="false" customHeight="true" outlineLevel="0" collapsed="false">
      <c r="A271" s="4" t="s">
        <v>154</v>
      </c>
      <c r="B271" s="4" t="s">
        <v>155</v>
      </c>
      <c r="C271" s="6" t="n">
        <v>29.065</v>
      </c>
      <c r="D271" s="4" t="s">
        <v>460</v>
      </c>
      <c r="E271" s="18" t="s">
        <v>57</v>
      </c>
    </row>
    <row r="272" customFormat="false" ht="15" hidden="false" customHeight="true" outlineLevel="0" collapsed="false">
      <c r="A272" s="4" t="s">
        <v>154</v>
      </c>
      <c r="B272" s="4" t="s">
        <v>155</v>
      </c>
      <c r="C272" s="6" t="n">
        <v>30.605</v>
      </c>
      <c r="D272" s="4" t="s">
        <v>456</v>
      </c>
      <c r="E272" s="18" t="s">
        <v>464</v>
      </c>
    </row>
    <row r="273" customFormat="false" ht="15" hidden="false" customHeight="true" outlineLevel="0" collapsed="false">
      <c r="A273" s="4" t="s">
        <v>154</v>
      </c>
      <c r="B273" s="4" t="s">
        <v>155</v>
      </c>
      <c r="C273" s="6" t="n">
        <v>39.319</v>
      </c>
      <c r="D273" s="17" t="s">
        <v>455</v>
      </c>
      <c r="E273" s="18" t="s">
        <v>557</v>
      </c>
    </row>
    <row r="274" customFormat="false" ht="15" hidden="false" customHeight="true" outlineLevel="0" collapsed="false">
      <c r="A274" s="4" t="s">
        <v>154</v>
      </c>
      <c r="B274" s="4" t="s">
        <v>155</v>
      </c>
      <c r="C274" s="6" t="n">
        <v>45.586</v>
      </c>
      <c r="D274" s="4" t="s">
        <v>460</v>
      </c>
      <c r="E274" s="18" t="s">
        <v>471</v>
      </c>
    </row>
    <row r="275" customFormat="false" ht="15" hidden="false" customHeight="true" outlineLevel="0" collapsed="false">
      <c r="A275" s="4" t="s">
        <v>154</v>
      </c>
      <c r="B275" s="4" t="s">
        <v>155</v>
      </c>
      <c r="C275" s="6" t="n">
        <v>46.814</v>
      </c>
      <c r="D275" s="4" t="s">
        <v>456</v>
      </c>
      <c r="E275" s="18" t="s">
        <v>472</v>
      </c>
    </row>
    <row r="276" customFormat="false" ht="15" hidden="false" customHeight="true" outlineLevel="0" collapsed="false">
      <c r="A276" s="4" t="s">
        <v>159</v>
      </c>
      <c r="B276" s="4" t="s">
        <v>155</v>
      </c>
      <c r="C276" s="6" t="n">
        <v>8.398</v>
      </c>
      <c r="D276" s="17" t="s">
        <v>455</v>
      </c>
      <c r="E276" s="18" t="s">
        <v>160</v>
      </c>
    </row>
    <row r="277" customFormat="false" ht="15" hidden="false" customHeight="true" outlineLevel="0" collapsed="false">
      <c r="A277" s="4" t="s">
        <v>159</v>
      </c>
      <c r="B277" s="4" t="s">
        <v>155</v>
      </c>
      <c r="C277" s="6" t="n">
        <v>10.05</v>
      </c>
      <c r="D277" s="4" t="s">
        <v>456</v>
      </c>
      <c r="E277" s="18" t="s">
        <v>558</v>
      </c>
    </row>
    <row r="278" customFormat="false" ht="15" hidden="false" customHeight="true" outlineLevel="0" collapsed="false">
      <c r="A278" s="4" t="s">
        <v>159</v>
      </c>
      <c r="B278" s="4" t="s">
        <v>155</v>
      </c>
      <c r="C278" s="6" t="n">
        <v>10.237</v>
      </c>
      <c r="D278" s="4" t="s">
        <v>460</v>
      </c>
      <c r="E278" s="18" t="s">
        <v>552</v>
      </c>
    </row>
    <row r="279" customFormat="false" ht="15" hidden="false" customHeight="true" outlineLevel="0" collapsed="false">
      <c r="A279" s="4" t="s">
        <v>159</v>
      </c>
      <c r="B279" s="4" t="s">
        <v>155</v>
      </c>
      <c r="C279" s="6" t="n">
        <v>10.442</v>
      </c>
      <c r="D279" s="4" t="s">
        <v>460</v>
      </c>
      <c r="E279" s="18" t="s">
        <v>57</v>
      </c>
    </row>
    <row r="280" customFormat="false" ht="15" hidden="false" customHeight="true" outlineLevel="0" collapsed="false">
      <c r="A280" s="4" t="s">
        <v>159</v>
      </c>
      <c r="B280" s="4" t="s">
        <v>155</v>
      </c>
      <c r="C280" s="6" t="n">
        <v>12.86</v>
      </c>
      <c r="D280" s="4" t="s">
        <v>456</v>
      </c>
      <c r="E280" s="18" t="s">
        <v>559</v>
      </c>
    </row>
    <row r="281" customFormat="false" ht="15" hidden="false" customHeight="true" outlineLevel="0" collapsed="false">
      <c r="A281" s="4" t="s">
        <v>159</v>
      </c>
      <c r="B281" s="4" t="s">
        <v>155</v>
      </c>
      <c r="C281" s="6" t="n">
        <v>14.84</v>
      </c>
      <c r="D281" s="4" t="s">
        <v>456</v>
      </c>
      <c r="E281" s="18" t="s">
        <v>464</v>
      </c>
    </row>
    <row r="282" customFormat="false" ht="15" hidden="false" customHeight="true" outlineLevel="0" collapsed="false">
      <c r="A282" s="4" t="s">
        <v>163</v>
      </c>
      <c r="B282" s="4" t="s">
        <v>155</v>
      </c>
      <c r="C282" s="6" t="n">
        <v>6.298</v>
      </c>
      <c r="D282" s="4" t="s">
        <v>456</v>
      </c>
      <c r="E282" s="18" t="s">
        <v>560</v>
      </c>
    </row>
    <row r="283" customFormat="false" ht="15" hidden="false" customHeight="true" outlineLevel="0" collapsed="false">
      <c r="A283" s="4" t="s">
        <v>163</v>
      </c>
      <c r="B283" s="4" t="s">
        <v>155</v>
      </c>
      <c r="C283" s="6" t="n">
        <v>12.818</v>
      </c>
      <c r="D283" s="17" t="s">
        <v>455</v>
      </c>
      <c r="E283" s="18" t="s">
        <v>164</v>
      </c>
    </row>
    <row r="284" customFormat="false" ht="15" hidden="false" customHeight="true" outlineLevel="0" collapsed="false">
      <c r="A284" s="4" t="s">
        <v>163</v>
      </c>
      <c r="B284" s="4" t="s">
        <v>155</v>
      </c>
      <c r="C284" s="6" t="n">
        <v>14.368</v>
      </c>
      <c r="D284" s="4" t="s">
        <v>460</v>
      </c>
      <c r="E284" s="18" t="s">
        <v>493</v>
      </c>
    </row>
    <row r="285" customFormat="false" ht="15" hidden="false" customHeight="true" outlineLevel="0" collapsed="false">
      <c r="A285" s="4" t="s">
        <v>163</v>
      </c>
      <c r="B285" s="4" t="s">
        <v>155</v>
      </c>
      <c r="C285" s="6" t="n">
        <v>16.319</v>
      </c>
      <c r="D285" s="4" t="s">
        <v>456</v>
      </c>
      <c r="E285" s="18" t="s">
        <v>494</v>
      </c>
    </row>
    <row r="286" customFormat="false" ht="15" hidden="false" customHeight="true" outlineLevel="0" collapsed="false">
      <c r="A286" s="4" t="s">
        <v>163</v>
      </c>
      <c r="B286" s="4" t="s">
        <v>155</v>
      </c>
      <c r="C286" s="6" t="n">
        <v>25.64</v>
      </c>
      <c r="D286" s="4" t="s">
        <v>456</v>
      </c>
      <c r="E286" s="18" t="s">
        <v>495</v>
      </c>
    </row>
    <row r="287" customFormat="false" ht="15" hidden="false" customHeight="true" outlineLevel="0" collapsed="false">
      <c r="A287" s="4" t="s">
        <v>163</v>
      </c>
      <c r="B287" s="4" t="s">
        <v>155</v>
      </c>
      <c r="C287" s="6" t="n">
        <v>38.364</v>
      </c>
      <c r="D287" s="17" t="s">
        <v>455</v>
      </c>
      <c r="E287" s="18" t="s">
        <v>561</v>
      </c>
    </row>
    <row r="288" customFormat="false" ht="15" hidden="false" customHeight="true" outlineLevel="0" collapsed="false">
      <c r="A288" s="4" t="s">
        <v>163</v>
      </c>
      <c r="B288" s="4" t="s">
        <v>155</v>
      </c>
      <c r="C288" s="6" t="n">
        <v>40.941</v>
      </c>
      <c r="D288" s="4" t="s">
        <v>460</v>
      </c>
      <c r="E288" s="18" t="s">
        <v>562</v>
      </c>
    </row>
    <row r="289" customFormat="false" ht="15" hidden="false" customHeight="true" outlineLevel="0" collapsed="false">
      <c r="A289" s="4" t="s">
        <v>163</v>
      </c>
      <c r="B289" s="4" t="s">
        <v>155</v>
      </c>
      <c r="C289" s="6" t="n">
        <v>40.995</v>
      </c>
      <c r="D289" s="4" t="s">
        <v>456</v>
      </c>
      <c r="E289" s="18" t="s">
        <v>464</v>
      </c>
    </row>
    <row r="290" customFormat="false" ht="15" hidden="false" customHeight="true" outlineLevel="0" collapsed="false">
      <c r="A290" s="4" t="s">
        <v>163</v>
      </c>
      <c r="B290" s="4" t="s">
        <v>155</v>
      </c>
      <c r="C290" s="6" t="n">
        <v>46.989</v>
      </c>
      <c r="D290" s="4" t="s">
        <v>456</v>
      </c>
      <c r="E290" s="18" t="s">
        <v>468</v>
      </c>
    </row>
    <row r="291" customFormat="false" ht="15" hidden="false" customHeight="true" outlineLevel="0" collapsed="false">
      <c r="A291" s="4" t="s">
        <v>163</v>
      </c>
      <c r="B291" s="4" t="s">
        <v>155</v>
      </c>
      <c r="C291" s="6" t="n">
        <v>48.747</v>
      </c>
      <c r="D291" s="17" t="s">
        <v>455</v>
      </c>
      <c r="E291" s="18" t="s">
        <v>563</v>
      </c>
    </row>
    <row r="292" customFormat="false" ht="15" hidden="false" customHeight="true" outlineLevel="0" collapsed="false">
      <c r="A292" s="4" t="s">
        <v>163</v>
      </c>
      <c r="B292" s="4" t="s">
        <v>155</v>
      </c>
      <c r="C292" s="6" t="n">
        <v>50.904</v>
      </c>
      <c r="D292" s="4" t="s">
        <v>456</v>
      </c>
      <c r="E292" s="18" t="s">
        <v>564</v>
      </c>
    </row>
    <row r="293" customFormat="false" ht="15" hidden="false" customHeight="true" outlineLevel="0" collapsed="false">
      <c r="A293" s="4" t="s">
        <v>163</v>
      </c>
      <c r="B293" s="4" t="s">
        <v>155</v>
      </c>
      <c r="C293" s="6" t="n">
        <v>56.547</v>
      </c>
      <c r="D293" s="4" t="s">
        <v>456</v>
      </c>
      <c r="E293" s="18" t="s">
        <v>473</v>
      </c>
    </row>
    <row r="294" customFormat="false" ht="15" hidden="false" customHeight="true" outlineLevel="0" collapsed="false">
      <c r="A294" s="4" t="s">
        <v>167</v>
      </c>
      <c r="B294" s="4" t="s">
        <v>155</v>
      </c>
      <c r="C294" s="6" t="n">
        <v>9.59</v>
      </c>
      <c r="D294" s="17" t="s">
        <v>455</v>
      </c>
      <c r="E294" s="18" t="s">
        <v>168</v>
      </c>
    </row>
    <row r="295" customFormat="false" ht="15" hidden="false" customHeight="true" outlineLevel="0" collapsed="false">
      <c r="A295" s="4" t="s">
        <v>167</v>
      </c>
      <c r="B295" s="4" t="s">
        <v>155</v>
      </c>
      <c r="C295" s="6" t="n">
        <v>10.813</v>
      </c>
      <c r="D295" s="4" t="s">
        <v>456</v>
      </c>
      <c r="E295" s="18" t="s">
        <v>565</v>
      </c>
    </row>
    <row r="296" customFormat="false" ht="15" hidden="false" customHeight="true" outlineLevel="0" collapsed="false">
      <c r="A296" s="4" t="s">
        <v>170</v>
      </c>
      <c r="B296" s="4" t="s">
        <v>155</v>
      </c>
      <c r="C296" s="6" t="n">
        <v>5.191</v>
      </c>
      <c r="D296" s="17" t="s">
        <v>455</v>
      </c>
      <c r="E296" s="18" t="s">
        <v>171</v>
      </c>
    </row>
    <row r="297" customFormat="false" ht="15" hidden="false" customHeight="true" outlineLevel="0" collapsed="false">
      <c r="A297" s="4" t="s">
        <v>170</v>
      </c>
      <c r="B297" s="4" t="s">
        <v>155</v>
      </c>
      <c r="C297" s="6" t="n">
        <v>7.253</v>
      </c>
      <c r="D297" s="4" t="s">
        <v>456</v>
      </c>
      <c r="E297" s="18" t="s">
        <v>566</v>
      </c>
    </row>
    <row r="298" customFormat="false" ht="15" hidden="false" customHeight="true" outlineLevel="0" collapsed="false">
      <c r="A298" s="4" t="s">
        <v>170</v>
      </c>
      <c r="B298" s="4" t="s">
        <v>155</v>
      </c>
      <c r="C298" s="6" t="n">
        <v>8.548</v>
      </c>
      <c r="D298" s="17" t="s">
        <v>455</v>
      </c>
      <c r="E298" s="18" t="s">
        <v>567</v>
      </c>
    </row>
    <row r="299" customFormat="false" ht="15" hidden="false" customHeight="true" outlineLevel="0" collapsed="false">
      <c r="A299" s="4" t="s">
        <v>170</v>
      </c>
      <c r="B299" s="4" t="s">
        <v>155</v>
      </c>
      <c r="C299" s="6" t="n">
        <v>9.691</v>
      </c>
      <c r="D299" s="4" t="s">
        <v>456</v>
      </c>
      <c r="E299" s="18" t="s">
        <v>568</v>
      </c>
    </row>
    <row r="300" customFormat="false" ht="15" hidden="false" customHeight="true" outlineLevel="0" collapsed="false">
      <c r="A300" s="4" t="s">
        <v>170</v>
      </c>
      <c r="B300" s="4" t="s">
        <v>155</v>
      </c>
      <c r="C300" s="6" t="n">
        <v>13.739</v>
      </c>
      <c r="D300" s="17" t="s">
        <v>455</v>
      </c>
      <c r="E300" s="18" t="s">
        <v>569</v>
      </c>
    </row>
    <row r="301" customFormat="false" ht="15" hidden="false" customHeight="true" outlineLevel="0" collapsed="false">
      <c r="A301" s="4" t="s">
        <v>170</v>
      </c>
      <c r="B301" s="4" t="s">
        <v>155</v>
      </c>
      <c r="C301" s="6" t="n">
        <v>14.015</v>
      </c>
      <c r="D301" s="4" t="s">
        <v>456</v>
      </c>
      <c r="E301" s="18" t="s">
        <v>570</v>
      </c>
    </row>
    <row r="302" customFormat="false" ht="15" hidden="false" customHeight="true" outlineLevel="0" collapsed="false">
      <c r="A302" s="4" t="s">
        <v>170</v>
      </c>
      <c r="B302" s="4" t="s">
        <v>155</v>
      </c>
      <c r="C302" s="6" t="n">
        <v>14.8</v>
      </c>
      <c r="D302" s="4" t="s">
        <v>456</v>
      </c>
      <c r="E302" s="18" t="s">
        <v>570</v>
      </c>
    </row>
    <row r="303" customFormat="false" ht="15" hidden="false" customHeight="true" outlineLevel="0" collapsed="false">
      <c r="A303" s="4" t="s">
        <v>170</v>
      </c>
      <c r="B303" s="4" t="s">
        <v>155</v>
      </c>
      <c r="C303" s="6" t="n">
        <v>17.764</v>
      </c>
      <c r="D303" s="4" t="s">
        <v>456</v>
      </c>
      <c r="E303" s="18" t="s">
        <v>571</v>
      </c>
    </row>
    <row r="304" customFormat="false" ht="15" hidden="false" customHeight="true" outlineLevel="0" collapsed="false">
      <c r="A304" s="4" t="s">
        <v>174</v>
      </c>
      <c r="B304" s="4" t="s">
        <v>155</v>
      </c>
      <c r="C304" s="6" t="n">
        <v>8.824</v>
      </c>
      <c r="D304" s="17" t="s">
        <v>455</v>
      </c>
      <c r="E304" s="18" t="s">
        <v>175</v>
      </c>
    </row>
    <row r="305" customFormat="false" ht="15" hidden="false" customHeight="true" outlineLevel="0" collapsed="false">
      <c r="A305" s="4" t="s">
        <v>174</v>
      </c>
      <c r="B305" s="4" t="s">
        <v>155</v>
      </c>
      <c r="C305" s="6" t="n">
        <v>10.131</v>
      </c>
      <c r="D305" s="4" t="s">
        <v>460</v>
      </c>
      <c r="E305" s="18" t="s">
        <v>572</v>
      </c>
    </row>
    <row r="306" customFormat="false" ht="15" hidden="false" customHeight="true" outlineLevel="0" collapsed="false">
      <c r="A306" s="4" t="s">
        <v>174</v>
      </c>
      <c r="B306" s="4" t="s">
        <v>155</v>
      </c>
      <c r="C306" s="6" t="n">
        <v>12.182</v>
      </c>
      <c r="D306" s="4" t="s">
        <v>456</v>
      </c>
      <c r="E306" s="18" t="s">
        <v>462</v>
      </c>
    </row>
    <row r="307" customFormat="false" ht="15" hidden="false" customHeight="true" outlineLevel="0" collapsed="false">
      <c r="A307" s="4" t="s">
        <v>174</v>
      </c>
      <c r="B307" s="4" t="s">
        <v>155</v>
      </c>
      <c r="C307" s="6" t="n">
        <v>21.676</v>
      </c>
      <c r="D307" s="4" t="s">
        <v>456</v>
      </c>
      <c r="E307" s="18" t="s">
        <v>573</v>
      </c>
    </row>
    <row r="308" customFormat="false" ht="15" hidden="false" customHeight="true" outlineLevel="0" collapsed="false">
      <c r="A308" s="4" t="s">
        <v>174</v>
      </c>
      <c r="B308" s="4" t="s">
        <v>155</v>
      </c>
      <c r="C308" s="6" t="n">
        <v>31.29</v>
      </c>
      <c r="D308" s="17" t="s">
        <v>455</v>
      </c>
      <c r="E308" s="18" t="s">
        <v>574</v>
      </c>
    </row>
    <row r="309" customFormat="false" ht="15" hidden="false" customHeight="true" outlineLevel="0" collapsed="false">
      <c r="A309" s="4" t="s">
        <v>174</v>
      </c>
      <c r="B309" s="4" t="s">
        <v>155</v>
      </c>
      <c r="C309" s="6" t="n">
        <v>32.313</v>
      </c>
      <c r="D309" s="4" t="s">
        <v>460</v>
      </c>
      <c r="E309" s="18" t="s">
        <v>503</v>
      </c>
    </row>
    <row r="310" customFormat="false" ht="15" hidden="false" customHeight="true" outlineLevel="0" collapsed="false">
      <c r="A310" s="4" t="s">
        <v>174</v>
      </c>
      <c r="B310" s="4" t="s">
        <v>155</v>
      </c>
      <c r="C310" s="6" t="n">
        <v>32.349</v>
      </c>
      <c r="D310" s="4" t="s">
        <v>456</v>
      </c>
      <c r="E310" s="18" t="s">
        <v>468</v>
      </c>
    </row>
    <row r="311" customFormat="false" ht="15" hidden="false" customHeight="true" outlineLevel="0" collapsed="false">
      <c r="A311" s="4" t="s">
        <v>174</v>
      </c>
      <c r="B311" s="4" t="s">
        <v>155</v>
      </c>
      <c r="C311" s="6" t="n">
        <v>40.528</v>
      </c>
      <c r="D311" s="4" t="s">
        <v>456</v>
      </c>
      <c r="E311" s="18" t="s">
        <v>473</v>
      </c>
    </row>
    <row r="312" customFormat="false" ht="15" hidden="false" customHeight="true" outlineLevel="0" collapsed="false">
      <c r="A312" s="4" t="s">
        <v>179</v>
      </c>
      <c r="B312" s="4" t="s">
        <v>155</v>
      </c>
      <c r="C312" s="6" t="n">
        <v>4.852</v>
      </c>
      <c r="D312" s="17" t="s">
        <v>455</v>
      </c>
      <c r="E312" s="18" t="s">
        <v>180</v>
      </c>
    </row>
    <row r="313" customFormat="false" ht="15" hidden="false" customHeight="true" outlineLevel="0" collapsed="false">
      <c r="A313" s="4" t="s">
        <v>179</v>
      </c>
      <c r="B313" s="4" t="s">
        <v>155</v>
      </c>
      <c r="C313" s="6" t="n">
        <v>6.03</v>
      </c>
      <c r="D313" s="4" t="s">
        <v>456</v>
      </c>
      <c r="E313" s="18" t="s">
        <v>575</v>
      </c>
    </row>
    <row r="314" customFormat="false" ht="15" hidden="false" customHeight="true" outlineLevel="0" collapsed="false">
      <c r="A314" s="4" t="s">
        <v>179</v>
      </c>
      <c r="B314" s="4" t="s">
        <v>155</v>
      </c>
      <c r="C314" s="6" t="n">
        <v>13.278</v>
      </c>
      <c r="D314" s="4" t="s">
        <v>456</v>
      </c>
      <c r="E314" s="18" t="s">
        <v>576</v>
      </c>
    </row>
    <row r="315" customFormat="false" ht="15" hidden="false" customHeight="true" outlineLevel="0" collapsed="false">
      <c r="A315" s="4" t="s">
        <v>179</v>
      </c>
      <c r="B315" s="4" t="s">
        <v>155</v>
      </c>
      <c r="C315" s="6" t="n">
        <v>18.397</v>
      </c>
      <c r="D315" s="17" t="s">
        <v>455</v>
      </c>
      <c r="E315" s="18" t="s">
        <v>504</v>
      </c>
    </row>
    <row r="316" customFormat="false" ht="15" hidden="false" customHeight="true" outlineLevel="0" collapsed="false">
      <c r="A316" s="4" t="s">
        <v>179</v>
      </c>
      <c r="B316" s="4" t="s">
        <v>155</v>
      </c>
      <c r="C316" s="6" t="n">
        <v>19.671</v>
      </c>
      <c r="D316" s="4" t="s">
        <v>460</v>
      </c>
      <c r="E316" s="18" t="s">
        <v>505</v>
      </c>
    </row>
    <row r="317" customFormat="false" ht="15" hidden="false" customHeight="true" outlineLevel="0" collapsed="false">
      <c r="A317" s="4" t="s">
        <v>179</v>
      </c>
      <c r="B317" s="4" t="s">
        <v>155</v>
      </c>
      <c r="C317" s="6" t="n">
        <v>19.72</v>
      </c>
      <c r="D317" s="4" t="s">
        <v>456</v>
      </c>
      <c r="E317" s="18" t="s">
        <v>537</v>
      </c>
    </row>
    <row r="318" customFormat="false" ht="15" hidden="false" customHeight="true" outlineLevel="0" collapsed="false">
      <c r="A318" s="4" t="s">
        <v>179</v>
      </c>
      <c r="B318" s="4" t="s">
        <v>155</v>
      </c>
      <c r="C318" s="6" t="n">
        <v>22.401</v>
      </c>
      <c r="D318" s="4" t="s">
        <v>456</v>
      </c>
      <c r="E318" s="18" t="s">
        <v>479</v>
      </c>
    </row>
    <row r="319" customFormat="false" ht="15" hidden="false" customHeight="true" outlineLevel="0" collapsed="false">
      <c r="A319" s="4" t="s">
        <v>179</v>
      </c>
      <c r="B319" s="4" t="s">
        <v>155</v>
      </c>
      <c r="C319" s="6" t="n">
        <v>29.048</v>
      </c>
      <c r="D319" s="4" t="s">
        <v>456</v>
      </c>
      <c r="E319" s="18" t="s">
        <v>480</v>
      </c>
    </row>
    <row r="320" customFormat="false" ht="15" hidden="false" customHeight="true" outlineLevel="0" collapsed="false">
      <c r="A320" s="4" t="s">
        <v>179</v>
      </c>
      <c r="B320" s="4" t="s">
        <v>155</v>
      </c>
      <c r="C320" s="6" t="n">
        <v>37.096</v>
      </c>
      <c r="D320" s="17" t="s">
        <v>455</v>
      </c>
      <c r="E320" s="18" t="s">
        <v>86</v>
      </c>
    </row>
    <row r="321" customFormat="false" ht="15" hidden="false" customHeight="true" outlineLevel="0" collapsed="false">
      <c r="A321" s="4" t="s">
        <v>179</v>
      </c>
      <c r="B321" s="4" t="s">
        <v>155</v>
      </c>
      <c r="C321" s="6" t="n">
        <v>37.102</v>
      </c>
      <c r="D321" s="4" t="s">
        <v>460</v>
      </c>
      <c r="E321" s="18" t="s">
        <v>57</v>
      </c>
    </row>
    <row r="322" customFormat="false" ht="15" hidden="false" customHeight="true" outlineLevel="0" collapsed="false">
      <c r="A322" s="4" t="s">
        <v>179</v>
      </c>
      <c r="B322" s="4" t="s">
        <v>155</v>
      </c>
      <c r="C322" s="6" t="n">
        <v>37.157</v>
      </c>
      <c r="D322" s="4" t="s">
        <v>456</v>
      </c>
      <c r="E322" s="18" t="s">
        <v>464</v>
      </c>
    </row>
    <row r="323" customFormat="false" ht="15" hidden="false" customHeight="true" outlineLevel="0" collapsed="false">
      <c r="A323" s="4" t="s">
        <v>179</v>
      </c>
      <c r="B323" s="4" t="s">
        <v>155</v>
      </c>
      <c r="C323" s="6" t="n">
        <v>42.942</v>
      </c>
      <c r="D323" s="4" t="s">
        <v>456</v>
      </c>
      <c r="E323" s="18" t="s">
        <v>485</v>
      </c>
    </row>
    <row r="324" customFormat="false" ht="15" hidden="false" customHeight="true" outlineLevel="0" collapsed="false">
      <c r="A324" s="4" t="s">
        <v>179</v>
      </c>
      <c r="B324" s="4" t="s">
        <v>155</v>
      </c>
      <c r="C324" s="6" t="n">
        <v>50.078</v>
      </c>
      <c r="D324" s="17" t="s">
        <v>455</v>
      </c>
      <c r="E324" s="18" t="s">
        <v>516</v>
      </c>
    </row>
    <row r="325" customFormat="false" ht="15" hidden="false" customHeight="true" outlineLevel="0" collapsed="false">
      <c r="A325" s="4" t="s">
        <v>179</v>
      </c>
      <c r="B325" s="4" t="s">
        <v>155</v>
      </c>
      <c r="C325" s="6" t="n">
        <v>50.082</v>
      </c>
      <c r="D325" s="4" t="s">
        <v>460</v>
      </c>
      <c r="E325" s="18" t="s">
        <v>467</v>
      </c>
    </row>
    <row r="326" customFormat="false" ht="15" hidden="false" customHeight="true" outlineLevel="0" collapsed="false">
      <c r="A326" s="4" t="s">
        <v>179</v>
      </c>
      <c r="B326" s="4" t="s">
        <v>155</v>
      </c>
      <c r="C326" s="6" t="n">
        <v>50.14</v>
      </c>
      <c r="D326" s="4" t="s">
        <v>456</v>
      </c>
      <c r="E326" s="18" t="s">
        <v>468</v>
      </c>
    </row>
    <row r="327" customFormat="false" ht="15" hidden="false" customHeight="true" outlineLevel="0" collapsed="false">
      <c r="A327" s="4" t="s">
        <v>179</v>
      </c>
      <c r="B327" s="4" t="s">
        <v>155</v>
      </c>
      <c r="C327" s="6" t="n">
        <v>53.739</v>
      </c>
      <c r="D327" s="4" t="s">
        <v>456</v>
      </c>
      <c r="E327" s="18" t="s">
        <v>469</v>
      </c>
    </row>
    <row r="328" customFormat="false" ht="15" hidden="false" customHeight="true" outlineLevel="0" collapsed="false">
      <c r="A328" s="4" t="s">
        <v>179</v>
      </c>
      <c r="B328" s="4" t="s">
        <v>155</v>
      </c>
      <c r="C328" s="6" t="n">
        <v>57.989</v>
      </c>
      <c r="D328" s="17" t="s">
        <v>455</v>
      </c>
      <c r="E328" s="18" t="s">
        <v>487</v>
      </c>
    </row>
    <row r="329" customFormat="false" ht="15" hidden="false" customHeight="true" outlineLevel="0" collapsed="false">
      <c r="A329" s="4" t="s">
        <v>179</v>
      </c>
      <c r="B329" s="4" t="s">
        <v>155</v>
      </c>
      <c r="C329" s="6" t="n">
        <v>57.993</v>
      </c>
      <c r="D329" s="4" t="s">
        <v>460</v>
      </c>
      <c r="E329" s="18" t="s">
        <v>471</v>
      </c>
    </row>
    <row r="330" customFormat="false" ht="15" hidden="false" customHeight="true" outlineLevel="0" collapsed="false">
      <c r="A330" s="4" t="s">
        <v>179</v>
      </c>
      <c r="B330" s="4" t="s">
        <v>155</v>
      </c>
      <c r="C330" s="6" t="n">
        <v>58.003</v>
      </c>
      <c r="D330" s="4" t="s">
        <v>456</v>
      </c>
      <c r="E330" s="18" t="s">
        <v>472</v>
      </c>
    </row>
    <row r="331" customFormat="false" ht="15" hidden="false" customHeight="true" outlineLevel="0" collapsed="false">
      <c r="A331" s="4" t="s">
        <v>179</v>
      </c>
      <c r="B331" s="4" t="s">
        <v>155</v>
      </c>
      <c r="C331" s="6" t="n">
        <v>63.329</v>
      </c>
      <c r="D331" s="4" t="s">
        <v>456</v>
      </c>
      <c r="E331" s="18" t="s">
        <v>473</v>
      </c>
    </row>
    <row r="332" customFormat="false" ht="15" hidden="false" customHeight="true" outlineLevel="0" collapsed="false">
      <c r="A332" s="4" t="s">
        <v>183</v>
      </c>
      <c r="B332" s="4" t="s">
        <v>155</v>
      </c>
      <c r="C332" s="6" t="n">
        <v>4.511</v>
      </c>
      <c r="D332" s="17" t="s">
        <v>455</v>
      </c>
      <c r="E332" s="18" t="s">
        <v>184</v>
      </c>
    </row>
    <row r="333" customFormat="false" ht="15" hidden="false" customHeight="true" outlineLevel="0" collapsed="false">
      <c r="A333" s="4" t="s">
        <v>183</v>
      </c>
      <c r="B333" s="4" t="s">
        <v>155</v>
      </c>
      <c r="C333" s="6" t="n">
        <v>4.519</v>
      </c>
      <c r="D333" s="4" t="s">
        <v>460</v>
      </c>
      <c r="E333" s="18" t="s">
        <v>474</v>
      </c>
    </row>
    <row r="334" customFormat="false" ht="15" hidden="false" customHeight="true" outlineLevel="0" collapsed="false">
      <c r="A334" s="4" t="s">
        <v>183</v>
      </c>
      <c r="B334" s="4" t="s">
        <v>155</v>
      </c>
      <c r="C334" s="6" t="n">
        <v>4.561</v>
      </c>
      <c r="D334" s="4" t="s">
        <v>456</v>
      </c>
      <c r="E334" s="18" t="s">
        <v>475</v>
      </c>
    </row>
    <row r="335" customFormat="false" ht="15" hidden="false" customHeight="true" outlineLevel="0" collapsed="false">
      <c r="A335" s="4" t="s">
        <v>183</v>
      </c>
      <c r="B335" s="4" t="s">
        <v>155</v>
      </c>
      <c r="C335" s="6" t="n">
        <v>22.638</v>
      </c>
      <c r="D335" s="4" t="s">
        <v>456</v>
      </c>
      <c r="E335" s="18" t="s">
        <v>577</v>
      </c>
    </row>
    <row r="336" customFormat="false" ht="15" hidden="false" customHeight="true" outlineLevel="0" collapsed="false">
      <c r="A336" s="4" t="s">
        <v>183</v>
      </c>
      <c r="B336" s="4" t="s">
        <v>155</v>
      </c>
      <c r="C336" s="6" t="n">
        <v>28.379</v>
      </c>
      <c r="D336" s="17" t="s">
        <v>455</v>
      </c>
      <c r="E336" s="18" t="s">
        <v>516</v>
      </c>
    </row>
    <row r="337" customFormat="false" ht="15" hidden="false" customHeight="true" outlineLevel="0" collapsed="false">
      <c r="A337" s="4" t="s">
        <v>183</v>
      </c>
      <c r="B337" s="4" t="s">
        <v>155</v>
      </c>
      <c r="C337" s="6" t="n">
        <v>28.394</v>
      </c>
      <c r="D337" s="4" t="s">
        <v>460</v>
      </c>
      <c r="E337" s="18" t="s">
        <v>549</v>
      </c>
    </row>
    <row r="338" customFormat="false" ht="15" hidden="false" customHeight="true" outlineLevel="0" collapsed="false">
      <c r="A338" s="4" t="s">
        <v>183</v>
      </c>
      <c r="B338" s="4" t="s">
        <v>155</v>
      </c>
      <c r="C338" s="6" t="n">
        <v>29.124</v>
      </c>
      <c r="D338" s="4" t="s">
        <v>456</v>
      </c>
      <c r="E338" s="18" t="s">
        <v>479</v>
      </c>
    </row>
    <row r="339" customFormat="false" ht="15" hidden="false" customHeight="true" outlineLevel="0" collapsed="false">
      <c r="A339" s="4" t="s">
        <v>183</v>
      </c>
      <c r="B339" s="4" t="s">
        <v>155</v>
      </c>
      <c r="C339" s="6" t="n">
        <v>34.017</v>
      </c>
      <c r="D339" s="4" t="s">
        <v>456</v>
      </c>
      <c r="E339" s="18" t="s">
        <v>480</v>
      </c>
    </row>
    <row r="340" customFormat="false" ht="15" hidden="false" customHeight="true" outlineLevel="0" collapsed="false">
      <c r="A340" s="4" t="s">
        <v>183</v>
      </c>
      <c r="B340" s="4" t="s">
        <v>155</v>
      </c>
      <c r="C340" s="6" t="n">
        <v>41.616</v>
      </c>
      <c r="D340" s="17" t="s">
        <v>455</v>
      </c>
      <c r="E340" s="18" t="s">
        <v>86</v>
      </c>
    </row>
    <row r="341" customFormat="false" ht="15" hidden="false" customHeight="true" outlineLevel="0" collapsed="false">
      <c r="A341" s="4" t="s">
        <v>183</v>
      </c>
      <c r="B341" s="4" t="s">
        <v>155</v>
      </c>
      <c r="C341" s="6" t="n">
        <v>41.621</v>
      </c>
      <c r="D341" s="4" t="s">
        <v>460</v>
      </c>
      <c r="E341" s="18" t="s">
        <v>57</v>
      </c>
    </row>
    <row r="342" customFormat="false" ht="15" hidden="false" customHeight="true" outlineLevel="0" collapsed="false">
      <c r="A342" s="4" t="s">
        <v>183</v>
      </c>
      <c r="B342" s="4" t="s">
        <v>155</v>
      </c>
      <c r="C342" s="6" t="n">
        <v>41.68</v>
      </c>
      <c r="D342" s="4" t="s">
        <v>456</v>
      </c>
      <c r="E342" s="18" t="s">
        <v>464</v>
      </c>
    </row>
    <row r="343" customFormat="false" ht="15" hidden="false" customHeight="true" outlineLevel="0" collapsed="false">
      <c r="A343" s="4" t="s">
        <v>183</v>
      </c>
      <c r="B343" s="4" t="s">
        <v>155</v>
      </c>
      <c r="C343" s="6" t="n">
        <v>46.533</v>
      </c>
      <c r="D343" s="4" t="s">
        <v>456</v>
      </c>
      <c r="E343" s="18" t="s">
        <v>485</v>
      </c>
    </row>
    <row r="344" customFormat="false" ht="15" hidden="false" customHeight="true" outlineLevel="0" collapsed="false">
      <c r="A344" s="4" t="s">
        <v>183</v>
      </c>
      <c r="B344" s="4" t="s">
        <v>155</v>
      </c>
      <c r="C344" s="6" t="n">
        <v>55.166</v>
      </c>
      <c r="D344" s="17" t="s">
        <v>455</v>
      </c>
      <c r="E344" s="18" t="s">
        <v>578</v>
      </c>
    </row>
    <row r="345" customFormat="false" ht="15" hidden="false" customHeight="true" outlineLevel="0" collapsed="false">
      <c r="A345" s="4" t="s">
        <v>183</v>
      </c>
      <c r="B345" s="4" t="s">
        <v>155</v>
      </c>
      <c r="C345" s="6" t="n">
        <v>55.186</v>
      </c>
      <c r="D345" s="4" t="s">
        <v>460</v>
      </c>
      <c r="E345" s="18" t="s">
        <v>503</v>
      </c>
    </row>
    <row r="346" customFormat="false" ht="15" hidden="false" customHeight="true" outlineLevel="0" collapsed="false">
      <c r="A346" s="4" t="s">
        <v>183</v>
      </c>
      <c r="B346" s="4" t="s">
        <v>155</v>
      </c>
      <c r="C346" s="6" t="n">
        <v>55.208</v>
      </c>
      <c r="D346" s="4" t="s">
        <v>456</v>
      </c>
      <c r="E346" s="18" t="s">
        <v>468</v>
      </c>
    </row>
    <row r="347" customFormat="false" ht="15" hidden="false" customHeight="true" outlineLevel="0" collapsed="false">
      <c r="A347" s="4" t="s">
        <v>183</v>
      </c>
      <c r="B347" s="4" t="s">
        <v>155</v>
      </c>
      <c r="C347" s="6" t="n">
        <v>63.642</v>
      </c>
      <c r="D347" s="4" t="s">
        <v>456</v>
      </c>
      <c r="E347" s="18" t="s">
        <v>473</v>
      </c>
    </row>
    <row r="348" customFormat="false" ht="15" hidden="false" customHeight="true" outlineLevel="0" collapsed="false">
      <c r="A348" s="4" t="s">
        <v>188</v>
      </c>
      <c r="B348" s="4" t="s">
        <v>155</v>
      </c>
      <c r="C348" s="6" t="n">
        <v>8.447</v>
      </c>
      <c r="D348" s="4" t="s">
        <v>456</v>
      </c>
      <c r="E348" s="18" t="s">
        <v>579</v>
      </c>
    </row>
    <row r="349" customFormat="false" ht="15" hidden="false" customHeight="true" outlineLevel="0" collapsed="false">
      <c r="A349" s="4" t="s">
        <v>188</v>
      </c>
      <c r="B349" s="4" t="s">
        <v>155</v>
      </c>
      <c r="C349" s="6" t="n">
        <v>17.81</v>
      </c>
      <c r="D349" s="17" t="s">
        <v>455</v>
      </c>
      <c r="E349" s="18" t="s">
        <v>190</v>
      </c>
    </row>
    <row r="350" customFormat="false" ht="15" hidden="false" customHeight="true" outlineLevel="0" collapsed="false">
      <c r="A350" s="4" t="s">
        <v>188</v>
      </c>
      <c r="B350" s="4" t="s">
        <v>155</v>
      </c>
      <c r="C350" s="6" t="n">
        <v>18.865</v>
      </c>
      <c r="D350" s="4" t="s">
        <v>460</v>
      </c>
      <c r="E350" s="18" t="s">
        <v>503</v>
      </c>
    </row>
    <row r="351" customFormat="false" ht="15" hidden="false" customHeight="true" outlineLevel="0" collapsed="false">
      <c r="A351" s="4" t="s">
        <v>188</v>
      </c>
      <c r="B351" s="4" t="s">
        <v>155</v>
      </c>
      <c r="C351" s="6" t="n">
        <v>36.543</v>
      </c>
      <c r="D351" s="17" t="s">
        <v>455</v>
      </c>
      <c r="E351" s="18" t="s">
        <v>580</v>
      </c>
    </row>
    <row r="352" customFormat="false" ht="15" hidden="false" customHeight="true" outlineLevel="0" collapsed="false">
      <c r="A352" s="4" t="s">
        <v>188</v>
      </c>
      <c r="B352" s="4" t="s">
        <v>155</v>
      </c>
      <c r="C352" s="6" t="n">
        <v>36.548</v>
      </c>
      <c r="D352" s="4" t="s">
        <v>460</v>
      </c>
      <c r="E352" s="18" t="s">
        <v>549</v>
      </c>
    </row>
    <row r="353" customFormat="false" ht="15" hidden="false" customHeight="true" outlineLevel="0" collapsed="false">
      <c r="A353" s="4" t="s">
        <v>188</v>
      </c>
      <c r="B353" s="4" t="s">
        <v>155</v>
      </c>
      <c r="C353" s="6" t="n">
        <v>37.289</v>
      </c>
      <c r="D353" s="4" t="s">
        <v>456</v>
      </c>
      <c r="E353" s="18" t="s">
        <v>479</v>
      </c>
    </row>
    <row r="354" customFormat="false" ht="15" hidden="false" customHeight="true" outlineLevel="0" collapsed="false">
      <c r="A354" s="4" t="s">
        <v>188</v>
      </c>
      <c r="B354" s="4" t="s">
        <v>155</v>
      </c>
      <c r="C354" s="6" t="n">
        <v>41.963</v>
      </c>
      <c r="D354" s="4" t="s">
        <v>456</v>
      </c>
      <c r="E354" s="18" t="s">
        <v>480</v>
      </c>
    </row>
    <row r="355" customFormat="false" ht="15" hidden="false" customHeight="true" outlineLevel="0" collapsed="false">
      <c r="A355" s="4" t="s">
        <v>188</v>
      </c>
      <c r="B355" s="4" t="s">
        <v>155</v>
      </c>
      <c r="C355" s="6" t="n">
        <v>49.575</v>
      </c>
      <c r="D355" s="17" t="s">
        <v>455</v>
      </c>
      <c r="E355" s="18" t="s">
        <v>496</v>
      </c>
    </row>
    <row r="356" customFormat="false" ht="15" hidden="false" customHeight="true" outlineLevel="0" collapsed="false">
      <c r="A356" s="4" t="s">
        <v>188</v>
      </c>
      <c r="B356" s="4" t="s">
        <v>155</v>
      </c>
      <c r="C356" s="6" t="n">
        <v>49.581</v>
      </c>
      <c r="D356" s="4" t="s">
        <v>460</v>
      </c>
      <c r="E356" s="18" t="s">
        <v>471</v>
      </c>
    </row>
    <row r="357" customFormat="false" ht="15" hidden="false" customHeight="true" outlineLevel="0" collapsed="false">
      <c r="A357" s="4" t="s">
        <v>188</v>
      </c>
      <c r="B357" s="4" t="s">
        <v>155</v>
      </c>
      <c r="C357" s="6" t="n">
        <v>49.621</v>
      </c>
      <c r="D357" s="4" t="s">
        <v>456</v>
      </c>
      <c r="E357" s="18" t="s">
        <v>472</v>
      </c>
    </row>
    <row r="358" customFormat="false" ht="15" hidden="false" customHeight="true" outlineLevel="0" collapsed="false">
      <c r="A358" s="4" t="s">
        <v>188</v>
      </c>
      <c r="B358" s="4" t="s">
        <v>155</v>
      </c>
      <c r="C358" s="6" t="n">
        <v>55.842</v>
      </c>
      <c r="D358" s="4" t="s">
        <v>456</v>
      </c>
      <c r="E358" s="18" t="s">
        <v>507</v>
      </c>
    </row>
    <row r="359" customFormat="false" ht="15" hidden="false" customHeight="true" outlineLevel="0" collapsed="false">
      <c r="A359" s="4" t="s">
        <v>188</v>
      </c>
      <c r="B359" s="4" t="s">
        <v>155</v>
      </c>
      <c r="C359" s="6" t="n">
        <v>59.189</v>
      </c>
      <c r="D359" s="17" t="s">
        <v>455</v>
      </c>
      <c r="E359" s="18" t="s">
        <v>581</v>
      </c>
    </row>
    <row r="360" customFormat="false" ht="15" hidden="false" customHeight="true" outlineLevel="0" collapsed="false">
      <c r="A360" s="4" t="s">
        <v>188</v>
      </c>
      <c r="B360" s="4" t="s">
        <v>155</v>
      </c>
      <c r="C360" s="6" t="n">
        <v>60.385</v>
      </c>
      <c r="D360" s="4" t="s">
        <v>460</v>
      </c>
      <c r="E360" s="18" t="s">
        <v>57</v>
      </c>
    </row>
    <row r="361" customFormat="false" ht="15" hidden="false" customHeight="true" outlineLevel="0" collapsed="false">
      <c r="A361" s="4" t="s">
        <v>188</v>
      </c>
      <c r="B361" s="4" t="s">
        <v>155</v>
      </c>
      <c r="C361" s="6" t="n">
        <v>60.415</v>
      </c>
      <c r="D361" s="4" t="s">
        <v>456</v>
      </c>
      <c r="E361" s="18" t="s">
        <v>464</v>
      </c>
    </row>
    <row r="362" customFormat="false" ht="15" hidden="false" customHeight="true" outlineLevel="0" collapsed="false">
      <c r="A362" s="4" t="s">
        <v>188</v>
      </c>
      <c r="B362" s="4" t="s">
        <v>155</v>
      </c>
      <c r="C362" s="6" t="n">
        <v>64.631</v>
      </c>
      <c r="D362" s="4" t="s">
        <v>456</v>
      </c>
      <c r="E362" s="18" t="s">
        <v>485</v>
      </c>
    </row>
    <row r="363" customFormat="false" ht="15" hidden="false" customHeight="true" outlineLevel="0" collapsed="false">
      <c r="A363" s="4" t="s">
        <v>188</v>
      </c>
      <c r="B363" s="4" t="s">
        <v>155</v>
      </c>
      <c r="C363" s="6" t="n">
        <v>74.345</v>
      </c>
      <c r="D363" s="17" t="s">
        <v>455</v>
      </c>
      <c r="E363" s="18" t="s">
        <v>484</v>
      </c>
    </row>
    <row r="364" customFormat="false" ht="15" hidden="false" customHeight="true" outlineLevel="0" collapsed="false">
      <c r="A364" s="4" t="s">
        <v>188</v>
      </c>
      <c r="B364" s="4" t="s">
        <v>155</v>
      </c>
      <c r="C364" s="6" t="n">
        <v>74.35</v>
      </c>
      <c r="D364" s="4" t="s">
        <v>460</v>
      </c>
      <c r="E364" s="18" t="s">
        <v>467</v>
      </c>
    </row>
    <row r="365" customFormat="false" ht="15" hidden="false" customHeight="true" outlineLevel="0" collapsed="false">
      <c r="A365" s="4" t="s">
        <v>188</v>
      </c>
      <c r="B365" s="4" t="s">
        <v>155</v>
      </c>
      <c r="C365" s="6" t="n">
        <v>74.407</v>
      </c>
      <c r="D365" s="4" t="s">
        <v>456</v>
      </c>
      <c r="E365" s="18" t="s">
        <v>468</v>
      </c>
    </row>
    <row r="366" customFormat="false" ht="15" hidden="false" customHeight="true" outlineLevel="0" collapsed="false">
      <c r="A366" s="4" t="s">
        <v>188</v>
      </c>
      <c r="B366" s="4" t="s">
        <v>155</v>
      </c>
      <c r="C366" s="6" t="n">
        <v>78.137</v>
      </c>
      <c r="D366" s="4" t="s">
        <v>456</v>
      </c>
      <c r="E366" s="18" t="s">
        <v>469</v>
      </c>
    </row>
    <row r="367" customFormat="false" ht="15" hidden="false" customHeight="true" outlineLevel="0" collapsed="false">
      <c r="A367" s="4" t="s">
        <v>188</v>
      </c>
      <c r="B367" s="4" t="s">
        <v>155</v>
      </c>
      <c r="C367" s="6" t="n">
        <v>81.619</v>
      </c>
      <c r="D367" s="17" t="s">
        <v>455</v>
      </c>
      <c r="E367" s="18" t="s">
        <v>487</v>
      </c>
    </row>
    <row r="368" customFormat="false" ht="15" hidden="false" customHeight="true" outlineLevel="0" collapsed="false">
      <c r="A368" s="4" t="s">
        <v>188</v>
      </c>
      <c r="B368" s="4" t="s">
        <v>155</v>
      </c>
      <c r="C368" s="6" t="n">
        <v>81.632</v>
      </c>
      <c r="D368" s="4" t="s">
        <v>460</v>
      </c>
      <c r="E368" s="18" t="s">
        <v>471</v>
      </c>
    </row>
    <row r="369" customFormat="false" ht="15" hidden="false" customHeight="true" outlineLevel="0" collapsed="false">
      <c r="A369" s="4" t="s">
        <v>188</v>
      </c>
      <c r="B369" s="4" t="s">
        <v>155</v>
      </c>
      <c r="C369" s="6" t="n">
        <v>81.64</v>
      </c>
      <c r="D369" s="4" t="s">
        <v>456</v>
      </c>
      <c r="E369" s="18" t="s">
        <v>472</v>
      </c>
    </row>
    <row r="370" customFormat="false" ht="15" hidden="false" customHeight="true" outlineLevel="0" collapsed="false">
      <c r="A370" s="4" t="s">
        <v>188</v>
      </c>
      <c r="B370" s="4" t="s">
        <v>155</v>
      </c>
      <c r="C370" s="6" t="n">
        <v>87.053</v>
      </c>
      <c r="D370" s="4" t="s">
        <v>456</v>
      </c>
      <c r="E370" s="18" t="s">
        <v>473</v>
      </c>
    </row>
    <row r="371" customFormat="false" ht="15" hidden="false" customHeight="true" outlineLevel="0" collapsed="false">
      <c r="A371" s="4" t="s">
        <v>188</v>
      </c>
      <c r="B371" s="4" t="s">
        <v>155</v>
      </c>
      <c r="C371" s="6" t="n">
        <v>97.684</v>
      </c>
      <c r="D371" s="17" t="s">
        <v>455</v>
      </c>
      <c r="E371" s="18" t="s">
        <v>582</v>
      </c>
    </row>
    <row r="372" customFormat="false" ht="15" hidden="false" customHeight="true" outlineLevel="0" collapsed="false">
      <c r="A372" s="4" t="s">
        <v>194</v>
      </c>
      <c r="B372" s="4" t="s">
        <v>155</v>
      </c>
      <c r="C372" s="6" t="n">
        <v>6.949</v>
      </c>
      <c r="D372" s="17" t="s">
        <v>455</v>
      </c>
      <c r="E372" s="18" t="s">
        <v>196</v>
      </c>
    </row>
    <row r="373" customFormat="false" ht="15" hidden="false" customHeight="true" outlineLevel="0" collapsed="false">
      <c r="A373" s="4" t="s">
        <v>194</v>
      </c>
      <c r="B373" s="4" t="s">
        <v>155</v>
      </c>
      <c r="C373" s="6" t="n">
        <v>8.196</v>
      </c>
      <c r="D373" s="4" t="s">
        <v>460</v>
      </c>
      <c r="E373" s="18" t="s">
        <v>553</v>
      </c>
    </row>
    <row r="374" customFormat="false" ht="15" hidden="false" customHeight="true" outlineLevel="0" collapsed="false">
      <c r="A374" s="4" t="s">
        <v>194</v>
      </c>
      <c r="B374" s="4" t="s">
        <v>155</v>
      </c>
      <c r="C374" s="6" t="n">
        <v>10.836</v>
      </c>
      <c r="D374" s="4" t="s">
        <v>456</v>
      </c>
      <c r="E374" s="18" t="s">
        <v>583</v>
      </c>
    </row>
    <row r="375" customFormat="false" ht="15" hidden="false" customHeight="true" outlineLevel="0" collapsed="false">
      <c r="A375" s="4" t="s">
        <v>194</v>
      </c>
      <c r="B375" s="4" t="s">
        <v>155</v>
      </c>
      <c r="C375" s="6" t="n">
        <v>22.211</v>
      </c>
      <c r="D375" s="4" t="s">
        <v>456</v>
      </c>
      <c r="E375" s="18" t="s">
        <v>584</v>
      </c>
    </row>
    <row r="376" customFormat="false" ht="15" hidden="false" customHeight="true" outlineLevel="0" collapsed="false">
      <c r="A376" s="4" t="s">
        <v>194</v>
      </c>
      <c r="B376" s="4" t="s">
        <v>155</v>
      </c>
      <c r="C376" s="6" t="n">
        <v>31.736</v>
      </c>
      <c r="D376" s="17" t="s">
        <v>455</v>
      </c>
      <c r="E376" s="18" t="s">
        <v>585</v>
      </c>
    </row>
    <row r="377" customFormat="false" ht="15" hidden="false" customHeight="true" outlineLevel="0" collapsed="false">
      <c r="A377" s="4" t="s">
        <v>194</v>
      </c>
      <c r="B377" s="4" t="s">
        <v>155</v>
      </c>
      <c r="C377" s="6" t="n">
        <v>32.615</v>
      </c>
      <c r="D377" s="4" t="s">
        <v>460</v>
      </c>
      <c r="E377" s="18" t="s">
        <v>552</v>
      </c>
    </row>
    <row r="378" customFormat="false" ht="15" hidden="false" customHeight="true" outlineLevel="0" collapsed="false">
      <c r="A378" s="4" t="s">
        <v>194</v>
      </c>
      <c r="B378" s="4" t="s">
        <v>155</v>
      </c>
      <c r="C378" s="6" t="n">
        <v>33.512</v>
      </c>
      <c r="D378" s="4" t="s">
        <v>456</v>
      </c>
      <c r="E378" s="18" t="s">
        <v>559</v>
      </c>
    </row>
    <row r="379" customFormat="false" ht="15" hidden="false" customHeight="true" outlineLevel="0" collapsed="false">
      <c r="A379" s="4" t="s">
        <v>194</v>
      </c>
      <c r="B379" s="4" t="s">
        <v>155</v>
      </c>
      <c r="C379" s="6" t="n">
        <v>42.774</v>
      </c>
      <c r="D379" s="17" t="s">
        <v>455</v>
      </c>
      <c r="E379" s="18" t="s">
        <v>586</v>
      </c>
    </row>
    <row r="380" customFormat="false" ht="15" hidden="false" customHeight="true" outlineLevel="0" collapsed="false">
      <c r="A380" s="4" t="s">
        <v>194</v>
      </c>
      <c r="B380" s="4" t="s">
        <v>155</v>
      </c>
      <c r="C380" s="6" t="n">
        <v>42.78</v>
      </c>
      <c r="D380" s="4" t="s">
        <v>460</v>
      </c>
      <c r="E380" s="18" t="s">
        <v>471</v>
      </c>
    </row>
    <row r="381" customFormat="false" ht="15" hidden="false" customHeight="true" outlineLevel="0" collapsed="false">
      <c r="A381" s="4" t="s">
        <v>194</v>
      </c>
      <c r="B381" s="4" t="s">
        <v>155</v>
      </c>
      <c r="C381" s="6" t="n">
        <v>42.799</v>
      </c>
      <c r="D381" s="4" t="s">
        <v>456</v>
      </c>
      <c r="E381" s="18" t="s">
        <v>472</v>
      </c>
    </row>
    <row r="382" customFormat="false" ht="15" hidden="false" customHeight="true" outlineLevel="0" collapsed="false">
      <c r="A382" s="4" t="s">
        <v>199</v>
      </c>
      <c r="B382" s="4" t="s">
        <v>155</v>
      </c>
      <c r="C382" s="6" t="n">
        <v>11.318</v>
      </c>
      <c r="D382" s="17" t="s">
        <v>455</v>
      </c>
      <c r="E382" s="18" t="s">
        <v>200</v>
      </c>
    </row>
    <row r="383" customFormat="false" ht="15" hidden="false" customHeight="true" outlineLevel="0" collapsed="false">
      <c r="A383" s="4" t="s">
        <v>199</v>
      </c>
      <c r="B383" s="4" t="s">
        <v>155</v>
      </c>
      <c r="C383" s="6" t="n">
        <v>13.715</v>
      </c>
      <c r="D383" s="4" t="s">
        <v>456</v>
      </c>
      <c r="E383" s="18" t="s">
        <v>587</v>
      </c>
    </row>
    <row r="384" customFormat="false" ht="15" hidden="false" customHeight="true" outlineLevel="0" collapsed="false">
      <c r="A384" s="4" t="s">
        <v>202</v>
      </c>
      <c r="B384" s="4" t="s">
        <v>155</v>
      </c>
      <c r="C384" s="6" t="n">
        <v>6.528</v>
      </c>
      <c r="D384" s="17" t="s">
        <v>455</v>
      </c>
      <c r="E384" s="18" t="s">
        <v>203</v>
      </c>
    </row>
    <row r="385" customFormat="false" ht="15" hidden="false" customHeight="true" outlineLevel="0" collapsed="false">
      <c r="A385" s="4" t="s">
        <v>202</v>
      </c>
      <c r="B385" s="4" t="s">
        <v>155</v>
      </c>
      <c r="C385" s="6" t="n">
        <v>7.556</v>
      </c>
      <c r="D385" s="4" t="s">
        <v>456</v>
      </c>
      <c r="E385" s="18" t="s">
        <v>588</v>
      </c>
    </row>
    <row r="386" customFormat="false" ht="15" hidden="false" customHeight="true" outlineLevel="0" collapsed="false">
      <c r="A386" s="4" t="s">
        <v>202</v>
      </c>
      <c r="B386" s="4" t="s">
        <v>155</v>
      </c>
      <c r="C386" s="6" t="n">
        <v>8.634</v>
      </c>
      <c r="D386" s="17" t="s">
        <v>455</v>
      </c>
      <c r="E386" s="18" t="s">
        <v>589</v>
      </c>
    </row>
    <row r="387" customFormat="false" ht="15" hidden="false" customHeight="true" outlineLevel="0" collapsed="false">
      <c r="A387" s="4" t="s">
        <v>202</v>
      </c>
      <c r="B387" s="4" t="s">
        <v>155</v>
      </c>
      <c r="C387" s="6" t="n">
        <v>9.835</v>
      </c>
      <c r="D387" s="4" t="s">
        <v>456</v>
      </c>
      <c r="E387" s="18" t="s">
        <v>590</v>
      </c>
    </row>
    <row r="388" customFormat="false" ht="15" hidden="false" customHeight="true" outlineLevel="0" collapsed="false">
      <c r="A388" s="4" t="s">
        <v>202</v>
      </c>
      <c r="B388" s="4" t="s">
        <v>155</v>
      </c>
      <c r="C388" s="6" t="n">
        <v>12.507</v>
      </c>
      <c r="D388" s="4" t="s">
        <v>456</v>
      </c>
      <c r="E388" s="18" t="s">
        <v>571</v>
      </c>
    </row>
    <row r="389" customFormat="false" ht="15" hidden="false" customHeight="true" outlineLevel="0" collapsed="false">
      <c r="A389" s="4" t="s">
        <v>206</v>
      </c>
      <c r="B389" s="4" t="s">
        <v>155</v>
      </c>
      <c r="C389" s="6" t="n">
        <v>6.854</v>
      </c>
      <c r="D389" s="17" t="s">
        <v>455</v>
      </c>
      <c r="E389" s="18" t="s">
        <v>207</v>
      </c>
    </row>
    <row r="390" customFormat="false" ht="15" hidden="false" customHeight="true" outlineLevel="0" collapsed="false">
      <c r="A390" s="4" t="s">
        <v>206</v>
      </c>
      <c r="B390" s="4" t="s">
        <v>155</v>
      </c>
      <c r="C390" s="6" t="n">
        <v>6.859</v>
      </c>
      <c r="D390" s="4" t="s">
        <v>460</v>
      </c>
      <c r="E390" s="18" t="s">
        <v>474</v>
      </c>
    </row>
    <row r="391" customFormat="false" ht="15" hidden="false" customHeight="true" outlineLevel="0" collapsed="false">
      <c r="A391" s="4" t="s">
        <v>206</v>
      </c>
      <c r="B391" s="4" t="s">
        <v>155</v>
      </c>
      <c r="C391" s="6" t="n">
        <v>6.897</v>
      </c>
      <c r="D391" s="4" t="s">
        <v>456</v>
      </c>
      <c r="E391" s="18" t="s">
        <v>475</v>
      </c>
    </row>
    <row r="392" customFormat="false" ht="15" hidden="false" customHeight="true" outlineLevel="0" collapsed="false">
      <c r="A392" s="4" t="s">
        <v>206</v>
      </c>
      <c r="B392" s="4" t="s">
        <v>155</v>
      </c>
      <c r="C392" s="6" t="n">
        <v>16.421</v>
      </c>
      <c r="D392" s="17" t="s">
        <v>455</v>
      </c>
      <c r="E392" s="18" t="s">
        <v>591</v>
      </c>
    </row>
    <row r="393" customFormat="false" ht="15" hidden="false" customHeight="true" outlineLevel="0" collapsed="false">
      <c r="A393" s="4" t="s">
        <v>206</v>
      </c>
      <c r="B393" s="4" t="s">
        <v>155</v>
      </c>
      <c r="C393" s="6" t="n">
        <v>17.541</v>
      </c>
      <c r="D393" s="4" t="s">
        <v>456</v>
      </c>
      <c r="E393" s="18" t="s">
        <v>592</v>
      </c>
    </row>
    <row r="394" customFormat="false" ht="15" hidden="false" customHeight="true" outlineLevel="0" collapsed="false">
      <c r="A394" s="4" t="s">
        <v>206</v>
      </c>
      <c r="B394" s="4" t="s">
        <v>155</v>
      </c>
      <c r="C394" s="6" t="n">
        <v>26.769</v>
      </c>
      <c r="D394" s="17" t="s">
        <v>455</v>
      </c>
      <c r="E394" s="18" t="s">
        <v>593</v>
      </c>
    </row>
    <row r="395" customFormat="false" ht="15" hidden="false" customHeight="true" outlineLevel="0" collapsed="false">
      <c r="A395" s="4" t="s">
        <v>206</v>
      </c>
      <c r="B395" s="4" t="s">
        <v>155</v>
      </c>
      <c r="C395" s="6" t="n">
        <v>27.316</v>
      </c>
      <c r="D395" s="17" t="s">
        <v>455</v>
      </c>
      <c r="E395" s="18" t="s">
        <v>594</v>
      </c>
    </row>
    <row r="396" customFormat="false" ht="15" hidden="false" customHeight="true" outlineLevel="0" collapsed="false">
      <c r="A396" s="4" t="s">
        <v>206</v>
      </c>
      <c r="B396" s="4" t="s">
        <v>155</v>
      </c>
      <c r="C396" s="6" t="n">
        <v>28.935</v>
      </c>
      <c r="D396" s="4" t="s">
        <v>460</v>
      </c>
      <c r="E396" s="18" t="s">
        <v>595</v>
      </c>
    </row>
    <row r="397" customFormat="false" ht="15" hidden="false" customHeight="true" outlineLevel="0" collapsed="false">
      <c r="A397" s="4" t="s">
        <v>206</v>
      </c>
      <c r="B397" s="4" t="s">
        <v>155</v>
      </c>
      <c r="C397" s="6" t="n">
        <v>28.986</v>
      </c>
      <c r="D397" s="4" t="s">
        <v>456</v>
      </c>
      <c r="E397" s="18" t="s">
        <v>596</v>
      </c>
    </row>
    <row r="398" customFormat="false" ht="15" hidden="false" customHeight="true" outlineLevel="0" collapsed="false">
      <c r="A398" s="4" t="s">
        <v>206</v>
      </c>
      <c r="B398" s="4" t="s">
        <v>155</v>
      </c>
      <c r="C398" s="6" t="n">
        <v>32.135</v>
      </c>
      <c r="D398" s="4" t="s">
        <v>456</v>
      </c>
      <c r="E398" s="18" t="s">
        <v>479</v>
      </c>
    </row>
    <row r="399" customFormat="false" ht="15" hidden="false" customHeight="true" outlineLevel="0" collapsed="false">
      <c r="A399" s="4" t="s">
        <v>206</v>
      </c>
      <c r="B399" s="4" t="s">
        <v>155</v>
      </c>
      <c r="C399" s="6" t="n">
        <v>37.488</v>
      </c>
      <c r="D399" s="4" t="s">
        <v>456</v>
      </c>
      <c r="E399" s="18" t="s">
        <v>480</v>
      </c>
    </row>
    <row r="400" customFormat="false" ht="15" hidden="false" customHeight="true" outlineLevel="0" collapsed="false">
      <c r="A400" s="4" t="s">
        <v>206</v>
      </c>
      <c r="B400" s="4" t="s">
        <v>155</v>
      </c>
      <c r="C400" s="6" t="n">
        <v>45.749</v>
      </c>
      <c r="D400" s="17" t="s">
        <v>455</v>
      </c>
      <c r="E400" s="18" t="s">
        <v>481</v>
      </c>
    </row>
    <row r="401" customFormat="false" ht="15" hidden="false" customHeight="true" outlineLevel="0" collapsed="false">
      <c r="A401" s="4" t="s">
        <v>206</v>
      </c>
      <c r="B401" s="4" t="s">
        <v>155</v>
      </c>
      <c r="C401" s="6" t="n">
        <v>45.762</v>
      </c>
      <c r="D401" s="4" t="s">
        <v>460</v>
      </c>
      <c r="E401" s="18" t="s">
        <v>71</v>
      </c>
    </row>
    <row r="402" customFormat="false" ht="15" hidden="false" customHeight="true" outlineLevel="0" collapsed="false">
      <c r="A402" s="4" t="s">
        <v>206</v>
      </c>
      <c r="B402" s="4" t="s">
        <v>155</v>
      </c>
      <c r="C402" s="6" t="n">
        <v>45.801</v>
      </c>
      <c r="D402" s="4" t="s">
        <v>456</v>
      </c>
      <c r="E402" s="18" t="s">
        <v>482</v>
      </c>
    </row>
    <row r="403" customFormat="false" ht="15" hidden="false" customHeight="true" outlineLevel="0" collapsed="false">
      <c r="A403" s="4" t="s">
        <v>206</v>
      </c>
      <c r="B403" s="4" t="s">
        <v>155</v>
      </c>
      <c r="C403" s="6" t="n">
        <v>48.938</v>
      </c>
      <c r="D403" s="4" t="s">
        <v>456</v>
      </c>
      <c r="E403" s="18" t="s">
        <v>483</v>
      </c>
    </row>
    <row r="404" customFormat="false" ht="15" hidden="false" customHeight="true" outlineLevel="0" collapsed="false">
      <c r="A404" s="4" t="s">
        <v>206</v>
      </c>
      <c r="B404" s="4" t="s">
        <v>155</v>
      </c>
      <c r="C404" s="6" t="n">
        <v>54.916</v>
      </c>
      <c r="D404" s="17" t="s">
        <v>455</v>
      </c>
      <c r="E404" s="18" t="s">
        <v>597</v>
      </c>
    </row>
    <row r="405" customFormat="false" ht="15" hidden="false" customHeight="true" outlineLevel="0" collapsed="false">
      <c r="A405" s="4" t="s">
        <v>206</v>
      </c>
      <c r="B405" s="4" t="s">
        <v>155</v>
      </c>
      <c r="C405" s="6" t="n">
        <v>55.753</v>
      </c>
      <c r="D405" s="4" t="s">
        <v>460</v>
      </c>
      <c r="E405" s="18" t="s">
        <v>471</v>
      </c>
    </row>
    <row r="406" customFormat="false" ht="15" hidden="false" customHeight="true" outlineLevel="0" collapsed="false">
      <c r="A406" s="4" t="s">
        <v>206</v>
      </c>
      <c r="B406" s="4" t="s">
        <v>155</v>
      </c>
      <c r="C406" s="6" t="n">
        <v>58.83</v>
      </c>
      <c r="D406" s="4" t="s">
        <v>456</v>
      </c>
      <c r="E406" s="18" t="s">
        <v>507</v>
      </c>
    </row>
    <row r="407" customFormat="false" ht="15" hidden="false" customHeight="true" outlineLevel="0" collapsed="false">
      <c r="A407" s="4" t="s">
        <v>206</v>
      </c>
      <c r="B407" s="4" t="s">
        <v>155</v>
      </c>
      <c r="C407" s="6" t="n">
        <v>68.349</v>
      </c>
      <c r="D407" s="17" t="s">
        <v>455</v>
      </c>
      <c r="E407" s="18" t="s">
        <v>598</v>
      </c>
    </row>
    <row r="408" customFormat="false" ht="15" hidden="false" customHeight="true" outlineLevel="0" collapsed="false">
      <c r="A408" s="4" t="s">
        <v>206</v>
      </c>
      <c r="B408" s="4" t="s">
        <v>155</v>
      </c>
      <c r="C408" s="6" t="n">
        <v>69.393</v>
      </c>
      <c r="D408" s="4" t="s">
        <v>460</v>
      </c>
      <c r="E408" s="18" t="s">
        <v>57</v>
      </c>
    </row>
    <row r="409" customFormat="false" ht="15" hidden="false" customHeight="true" outlineLevel="0" collapsed="false">
      <c r="A409" s="4" t="s">
        <v>206</v>
      </c>
      <c r="B409" s="4" t="s">
        <v>155</v>
      </c>
      <c r="C409" s="6" t="n">
        <v>69.457</v>
      </c>
      <c r="D409" s="4" t="s">
        <v>456</v>
      </c>
      <c r="E409" s="18" t="s">
        <v>464</v>
      </c>
    </row>
    <row r="410" customFormat="false" ht="15" hidden="false" customHeight="true" outlineLevel="0" collapsed="false">
      <c r="A410" s="4" t="s">
        <v>206</v>
      </c>
      <c r="B410" s="4" t="s">
        <v>155</v>
      </c>
      <c r="C410" s="6" t="n">
        <v>73.656</v>
      </c>
      <c r="D410" s="4" t="s">
        <v>456</v>
      </c>
      <c r="E410" s="18" t="s">
        <v>485</v>
      </c>
    </row>
    <row r="411" customFormat="false" ht="15" hidden="false" customHeight="true" outlineLevel="0" collapsed="false">
      <c r="A411" s="4" t="s">
        <v>206</v>
      </c>
      <c r="B411" s="4" t="s">
        <v>155</v>
      </c>
      <c r="C411" s="6" t="n">
        <v>84.499</v>
      </c>
      <c r="D411" s="17" t="s">
        <v>455</v>
      </c>
      <c r="E411" s="18" t="s">
        <v>599</v>
      </c>
    </row>
    <row r="412" customFormat="false" ht="15" hidden="false" customHeight="true" outlineLevel="0" collapsed="false">
      <c r="A412" s="4" t="s">
        <v>206</v>
      </c>
      <c r="B412" s="4" t="s">
        <v>155</v>
      </c>
      <c r="C412" s="6" t="n">
        <v>85.596</v>
      </c>
      <c r="D412" s="4" t="s">
        <v>460</v>
      </c>
      <c r="E412" s="18" t="s">
        <v>489</v>
      </c>
    </row>
    <row r="413" customFormat="false" ht="15" hidden="false" customHeight="true" outlineLevel="0" collapsed="false">
      <c r="A413" s="4" t="s">
        <v>206</v>
      </c>
      <c r="B413" s="4" t="s">
        <v>155</v>
      </c>
      <c r="C413" s="6" t="n">
        <v>85.631</v>
      </c>
      <c r="D413" s="4" t="s">
        <v>456</v>
      </c>
      <c r="E413" s="18" t="s">
        <v>468</v>
      </c>
    </row>
    <row r="414" customFormat="false" ht="15" hidden="false" customHeight="true" outlineLevel="0" collapsed="false">
      <c r="A414" s="4" t="s">
        <v>206</v>
      </c>
      <c r="B414" s="4" t="s">
        <v>155</v>
      </c>
      <c r="C414" s="6" t="n">
        <v>93.812</v>
      </c>
      <c r="D414" s="4" t="s">
        <v>456</v>
      </c>
      <c r="E414" s="18" t="s">
        <v>473</v>
      </c>
    </row>
    <row r="415" customFormat="false" ht="15" hidden="false" customHeight="true" outlineLevel="0" collapsed="false">
      <c r="A415" s="4" t="s">
        <v>211</v>
      </c>
      <c r="B415" s="4" t="s">
        <v>155</v>
      </c>
      <c r="C415" s="6" t="n">
        <v>5.111</v>
      </c>
      <c r="D415" s="17" t="s">
        <v>455</v>
      </c>
      <c r="E415" s="18" t="s">
        <v>124</v>
      </c>
    </row>
    <row r="416" customFormat="false" ht="15" hidden="false" customHeight="true" outlineLevel="0" collapsed="false">
      <c r="A416" s="4" t="s">
        <v>211</v>
      </c>
      <c r="B416" s="4" t="s">
        <v>155</v>
      </c>
      <c r="C416" s="6" t="n">
        <v>5.116</v>
      </c>
      <c r="D416" s="4" t="s">
        <v>460</v>
      </c>
      <c r="E416" s="18" t="s">
        <v>474</v>
      </c>
    </row>
    <row r="417" customFormat="false" ht="15" hidden="false" customHeight="true" outlineLevel="0" collapsed="false">
      <c r="A417" s="4" t="s">
        <v>211</v>
      </c>
      <c r="B417" s="4" t="s">
        <v>155</v>
      </c>
      <c r="C417" s="6" t="n">
        <v>5.135</v>
      </c>
      <c r="D417" s="4" t="s">
        <v>456</v>
      </c>
      <c r="E417" s="18" t="s">
        <v>475</v>
      </c>
    </row>
    <row r="418" customFormat="false" ht="15" hidden="false" customHeight="true" outlineLevel="0" collapsed="false">
      <c r="A418" s="4" t="s">
        <v>211</v>
      </c>
      <c r="B418" s="4" t="s">
        <v>155</v>
      </c>
      <c r="C418" s="6" t="n">
        <v>12.723</v>
      </c>
      <c r="D418" s="17" t="s">
        <v>455</v>
      </c>
      <c r="E418" s="18" t="s">
        <v>600</v>
      </c>
    </row>
    <row r="419" customFormat="false" ht="15" hidden="false" customHeight="true" outlineLevel="0" collapsed="false">
      <c r="A419" s="4" t="s">
        <v>211</v>
      </c>
      <c r="B419" s="4" t="s">
        <v>155</v>
      </c>
      <c r="C419" s="6" t="n">
        <v>12.773</v>
      </c>
      <c r="D419" s="4" t="s">
        <v>456</v>
      </c>
      <c r="E419" s="18" t="s">
        <v>538</v>
      </c>
    </row>
    <row r="420" customFormat="false" ht="15" hidden="false" customHeight="true" outlineLevel="0" collapsed="false">
      <c r="A420" s="4" t="s">
        <v>211</v>
      </c>
      <c r="B420" s="4" t="s">
        <v>155</v>
      </c>
      <c r="C420" s="6" t="n">
        <v>13.955</v>
      </c>
      <c r="D420" s="4" t="s">
        <v>460</v>
      </c>
      <c r="E420" s="18" t="s">
        <v>549</v>
      </c>
    </row>
    <row r="421" customFormat="false" ht="15" hidden="false" customHeight="true" outlineLevel="0" collapsed="false">
      <c r="A421" s="4" t="s">
        <v>211</v>
      </c>
      <c r="B421" s="4" t="s">
        <v>155</v>
      </c>
      <c r="C421" s="6" t="n">
        <v>16.324</v>
      </c>
      <c r="D421" s="4" t="s">
        <v>456</v>
      </c>
      <c r="E421" s="18" t="s">
        <v>601</v>
      </c>
    </row>
    <row r="422" customFormat="false" ht="15" hidden="false" customHeight="true" outlineLevel="0" collapsed="false">
      <c r="A422" s="4" t="s">
        <v>211</v>
      </c>
      <c r="B422" s="4" t="s">
        <v>155</v>
      </c>
      <c r="C422" s="6" t="n">
        <v>21.503</v>
      </c>
      <c r="D422" s="4" t="s">
        <v>456</v>
      </c>
      <c r="E422" s="18" t="s">
        <v>479</v>
      </c>
    </row>
    <row r="423" customFormat="false" ht="15" hidden="false" customHeight="true" outlineLevel="0" collapsed="false">
      <c r="A423" s="4" t="s">
        <v>211</v>
      </c>
      <c r="B423" s="4" t="s">
        <v>155</v>
      </c>
      <c r="C423" s="6" t="n">
        <v>24.525</v>
      </c>
      <c r="D423" s="4" t="s">
        <v>456</v>
      </c>
      <c r="E423" s="18" t="s">
        <v>480</v>
      </c>
    </row>
    <row r="424" customFormat="false" ht="15" hidden="false" customHeight="true" outlineLevel="0" collapsed="false">
      <c r="A424" s="4" t="s">
        <v>211</v>
      </c>
      <c r="B424" s="4" t="s">
        <v>155</v>
      </c>
      <c r="C424" s="6" t="n">
        <v>30.518</v>
      </c>
      <c r="D424" s="17" t="s">
        <v>455</v>
      </c>
      <c r="E424" s="18" t="s">
        <v>602</v>
      </c>
    </row>
    <row r="425" customFormat="false" ht="15" hidden="false" customHeight="true" outlineLevel="0" collapsed="false">
      <c r="A425" s="4" t="s">
        <v>211</v>
      </c>
      <c r="B425" s="4" t="s">
        <v>155</v>
      </c>
      <c r="C425" s="6" t="n">
        <v>31.6</v>
      </c>
      <c r="D425" s="4" t="s">
        <v>460</v>
      </c>
      <c r="E425" s="18" t="s">
        <v>603</v>
      </c>
    </row>
    <row r="426" customFormat="false" ht="15" hidden="false" customHeight="true" outlineLevel="0" collapsed="false">
      <c r="A426" s="4" t="s">
        <v>211</v>
      </c>
      <c r="B426" s="4" t="s">
        <v>155</v>
      </c>
      <c r="C426" s="6" t="n">
        <v>31.633</v>
      </c>
      <c r="D426" s="4" t="s">
        <v>456</v>
      </c>
      <c r="E426" s="18" t="s">
        <v>482</v>
      </c>
    </row>
    <row r="427" customFormat="false" ht="15" hidden="false" customHeight="true" outlineLevel="0" collapsed="false">
      <c r="A427" s="4" t="s">
        <v>211</v>
      </c>
      <c r="B427" s="4" t="s">
        <v>155</v>
      </c>
      <c r="C427" s="6" t="n">
        <v>34.78</v>
      </c>
      <c r="D427" s="4" t="s">
        <v>456</v>
      </c>
      <c r="E427" s="18" t="s">
        <v>483</v>
      </c>
    </row>
    <row r="428" customFormat="false" ht="15" hidden="false" customHeight="true" outlineLevel="0" collapsed="false">
      <c r="A428" s="4" t="s">
        <v>211</v>
      </c>
      <c r="B428" s="4" t="s">
        <v>155</v>
      </c>
      <c r="C428" s="6" t="n">
        <v>39.387</v>
      </c>
      <c r="D428" s="17" t="s">
        <v>455</v>
      </c>
      <c r="E428" s="18" t="s">
        <v>604</v>
      </c>
    </row>
    <row r="429" customFormat="false" ht="15" hidden="false" customHeight="true" outlineLevel="0" collapsed="false">
      <c r="A429" s="4" t="s">
        <v>211</v>
      </c>
      <c r="B429" s="4" t="s">
        <v>155</v>
      </c>
      <c r="C429" s="6" t="n">
        <v>40.425</v>
      </c>
      <c r="D429" s="4" t="s">
        <v>460</v>
      </c>
      <c r="E429" s="18" t="s">
        <v>471</v>
      </c>
    </row>
    <row r="430" customFormat="false" ht="15" hidden="false" customHeight="true" outlineLevel="0" collapsed="false">
      <c r="A430" s="4" t="s">
        <v>211</v>
      </c>
      <c r="B430" s="4" t="s">
        <v>155</v>
      </c>
      <c r="C430" s="6" t="n">
        <v>43.504</v>
      </c>
      <c r="D430" s="4" t="s">
        <v>456</v>
      </c>
      <c r="E430" s="18" t="s">
        <v>507</v>
      </c>
    </row>
    <row r="431" customFormat="false" ht="15" hidden="false" customHeight="true" outlineLevel="0" collapsed="false">
      <c r="A431" s="4" t="s">
        <v>211</v>
      </c>
      <c r="B431" s="4" t="s">
        <v>155</v>
      </c>
      <c r="C431" s="6" t="n">
        <v>45.62</v>
      </c>
      <c r="D431" s="17" t="s">
        <v>455</v>
      </c>
      <c r="E431" s="18" t="s">
        <v>605</v>
      </c>
    </row>
    <row r="432" customFormat="false" ht="15" hidden="false" customHeight="true" outlineLevel="0" collapsed="false">
      <c r="A432" s="4" t="s">
        <v>211</v>
      </c>
      <c r="B432" s="4" t="s">
        <v>155</v>
      </c>
      <c r="C432" s="6" t="n">
        <v>45.624</v>
      </c>
      <c r="D432" s="4" t="s">
        <v>460</v>
      </c>
      <c r="E432" s="18" t="s">
        <v>467</v>
      </c>
    </row>
    <row r="433" customFormat="false" ht="15" hidden="false" customHeight="true" outlineLevel="0" collapsed="false">
      <c r="A433" s="4" t="s">
        <v>211</v>
      </c>
      <c r="B433" s="4" t="s">
        <v>155</v>
      </c>
      <c r="C433" s="6" t="n">
        <v>45.683</v>
      </c>
      <c r="D433" s="4" t="s">
        <v>456</v>
      </c>
      <c r="E433" s="18" t="s">
        <v>468</v>
      </c>
    </row>
    <row r="434" customFormat="false" ht="15" hidden="false" customHeight="true" outlineLevel="0" collapsed="false">
      <c r="A434" s="4" t="s">
        <v>211</v>
      </c>
      <c r="B434" s="4" t="s">
        <v>155</v>
      </c>
      <c r="C434" s="6" t="n">
        <v>49.764</v>
      </c>
      <c r="D434" s="4" t="s">
        <v>456</v>
      </c>
      <c r="E434" s="18" t="s">
        <v>500</v>
      </c>
    </row>
    <row r="435" customFormat="false" ht="15" hidden="false" customHeight="true" outlineLevel="0" collapsed="false">
      <c r="A435" s="4" t="s">
        <v>214</v>
      </c>
      <c r="B435" s="4" t="s">
        <v>155</v>
      </c>
      <c r="C435" s="6" t="n">
        <v>4.602</v>
      </c>
      <c r="D435" s="4" t="s">
        <v>456</v>
      </c>
      <c r="E435" s="18" t="s">
        <v>579</v>
      </c>
    </row>
    <row r="436" customFormat="false" ht="15" hidden="false" customHeight="true" outlineLevel="0" collapsed="false">
      <c r="A436" s="4" t="s">
        <v>214</v>
      </c>
      <c r="B436" s="4" t="s">
        <v>155</v>
      </c>
      <c r="C436" s="6" t="n">
        <v>15.775</v>
      </c>
      <c r="D436" s="17" t="s">
        <v>455</v>
      </c>
      <c r="E436" s="18" t="s">
        <v>215</v>
      </c>
    </row>
    <row r="437" customFormat="false" ht="15" hidden="false" customHeight="true" outlineLevel="0" collapsed="false">
      <c r="A437" s="4" t="s">
        <v>214</v>
      </c>
      <c r="B437" s="4" t="s">
        <v>155</v>
      </c>
      <c r="C437" s="6" t="n">
        <v>16.994</v>
      </c>
      <c r="D437" s="4" t="s">
        <v>456</v>
      </c>
      <c r="E437" s="18" t="s">
        <v>606</v>
      </c>
    </row>
    <row r="438" customFormat="false" ht="15" hidden="false" customHeight="true" outlineLevel="0" collapsed="false">
      <c r="A438" s="4" t="s">
        <v>214</v>
      </c>
      <c r="B438" s="4" t="s">
        <v>155</v>
      </c>
      <c r="C438" s="6" t="n">
        <v>21.631</v>
      </c>
      <c r="D438" s="4" t="s">
        <v>456</v>
      </c>
      <c r="E438" s="18" t="s">
        <v>607</v>
      </c>
    </row>
    <row r="439" customFormat="false" ht="15" hidden="false" customHeight="true" outlineLevel="0" collapsed="false">
      <c r="A439" s="4" t="s">
        <v>214</v>
      </c>
      <c r="B439" s="4" t="s">
        <v>155</v>
      </c>
      <c r="C439" s="6" t="n">
        <v>26.063</v>
      </c>
      <c r="D439" s="17" t="s">
        <v>455</v>
      </c>
      <c r="E439" s="18" t="s">
        <v>608</v>
      </c>
    </row>
    <row r="440" customFormat="false" ht="15" hidden="false" customHeight="true" outlineLevel="0" collapsed="false">
      <c r="A440" s="4" t="s">
        <v>214</v>
      </c>
      <c r="B440" s="4" t="s">
        <v>155</v>
      </c>
      <c r="C440" s="6" t="n">
        <v>27.164</v>
      </c>
      <c r="D440" s="4" t="s">
        <v>456</v>
      </c>
      <c r="E440" s="18" t="s">
        <v>609</v>
      </c>
    </row>
    <row r="441" customFormat="false" ht="15" hidden="false" customHeight="true" outlineLevel="0" collapsed="false">
      <c r="A441" s="4" t="s">
        <v>214</v>
      </c>
      <c r="B441" s="4" t="s">
        <v>155</v>
      </c>
      <c r="C441" s="6" t="n">
        <v>31.96</v>
      </c>
      <c r="D441" s="17" t="s">
        <v>455</v>
      </c>
      <c r="E441" s="18" t="s">
        <v>610</v>
      </c>
    </row>
    <row r="442" customFormat="false" ht="15" hidden="false" customHeight="true" outlineLevel="0" collapsed="false">
      <c r="A442" s="4" t="s">
        <v>214</v>
      </c>
      <c r="B442" s="4" t="s">
        <v>155</v>
      </c>
      <c r="C442" s="6" t="n">
        <v>31.964</v>
      </c>
      <c r="D442" s="4" t="s">
        <v>460</v>
      </c>
      <c r="E442" s="18" t="s">
        <v>549</v>
      </c>
    </row>
    <row r="443" customFormat="false" ht="15" hidden="false" customHeight="true" outlineLevel="0" collapsed="false">
      <c r="A443" s="4" t="s">
        <v>214</v>
      </c>
      <c r="B443" s="4" t="s">
        <v>155</v>
      </c>
      <c r="C443" s="6" t="n">
        <v>32.636</v>
      </c>
      <c r="D443" s="4" t="s">
        <v>456</v>
      </c>
      <c r="E443" s="18" t="s">
        <v>479</v>
      </c>
    </row>
    <row r="444" customFormat="false" ht="15" hidden="false" customHeight="true" outlineLevel="0" collapsed="false">
      <c r="A444" s="4" t="s">
        <v>214</v>
      </c>
      <c r="B444" s="4" t="s">
        <v>155</v>
      </c>
      <c r="C444" s="6" t="n">
        <v>37.18</v>
      </c>
      <c r="D444" s="4" t="s">
        <v>456</v>
      </c>
      <c r="E444" s="18" t="s">
        <v>480</v>
      </c>
    </row>
    <row r="445" customFormat="false" ht="15" hidden="false" customHeight="true" outlineLevel="0" collapsed="false">
      <c r="A445" s="4" t="s">
        <v>214</v>
      </c>
      <c r="B445" s="4" t="s">
        <v>155</v>
      </c>
      <c r="C445" s="6" t="n">
        <v>44.761</v>
      </c>
      <c r="D445" s="17" t="s">
        <v>455</v>
      </c>
      <c r="E445" s="18" t="s">
        <v>481</v>
      </c>
    </row>
    <row r="446" customFormat="false" ht="15" hidden="false" customHeight="true" outlineLevel="0" collapsed="false">
      <c r="A446" s="4" t="s">
        <v>214</v>
      </c>
      <c r="B446" s="4" t="s">
        <v>155</v>
      </c>
      <c r="C446" s="6" t="n">
        <v>44.764</v>
      </c>
      <c r="D446" s="4" t="s">
        <v>460</v>
      </c>
      <c r="E446" s="18" t="s">
        <v>71</v>
      </c>
    </row>
    <row r="447" customFormat="false" ht="15" hidden="false" customHeight="true" outlineLevel="0" collapsed="false">
      <c r="A447" s="4" t="s">
        <v>214</v>
      </c>
      <c r="B447" s="4" t="s">
        <v>155</v>
      </c>
      <c r="C447" s="6" t="n">
        <v>44.825</v>
      </c>
      <c r="D447" s="4" t="s">
        <v>456</v>
      </c>
      <c r="E447" s="18" t="s">
        <v>482</v>
      </c>
    </row>
    <row r="448" customFormat="false" ht="15" hidden="false" customHeight="true" outlineLevel="0" collapsed="false">
      <c r="A448" s="4" t="s">
        <v>214</v>
      </c>
      <c r="B448" s="4" t="s">
        <v>155</v>
      </c>
      <c r="C448" s="6" t="n">
        <v>47.959</v>
      </c>
      <c r="D448" s="4" t="s">
        <v>456</v>
      </c>
      <c r="E448" s="18" t="s">
        <v>483</v>
      </c>
    </row>
    <row r="449" customFormat="false" ht="15" hidden="false" customHeight="true" outlineLevel="0" collapsed="false">
      <c r="A449" s="4" t="s">
        <v>214</v>
      </c>
      <c r="B449" s="4" t="s">
        <v>155</v>
      </c>
      <c r="C449" s="6" t="n">
        <v>50.337</v>
      </c>
      <c r="D449" s="17" t="s">
        <v>455</v>
      </c>
      <c r="E449" s="18" t="s">
        <v>611</v>
      </c>
    </row>
    <row r="450" customFormat="false" ht="15" hidden="false" customHeight="true" outlineLevel="0" collapsed="false">
      <c r="A450" s="4" t="s">
        <v>214</v>
      </c>
      <c r="B450" s="4" t="s">
        <v>155</v>
      </c>
      <c r="C450" s="6" t="n">
        <v>51.417</v>
      </c>
      <c r="D450" s="4" t="s">
        <v>460</v>
      </c>
      <c r="E450" s="18" t="s">
        <v>57</v>
      </c>
    </row>
    <row r="451" customFormat="false" ht="15" hidden="false" customHeight="true" outlineLevel="0" collapsed="false">
      <c r="A451" s="4" t="s">
        <v>214</v>
      </c>
      <c r="B451" s="4" t="s">
        <v>155</v>
      </c>
      <c r="C451" s="6" t="n">
        <v>51.437</v>
      </c>
      <c r="D451" s="4" t="s">
        <v>456</v>
      </c>
      <c r="E451" s="18" t="s">
        <v>464</v>
      </c>
    </row>
    <row r="452" customFormat="false" ht="15" hidden="false" customHeight="true" outlineLevel="0" collapsed="false">
      <c r="A452" s="4" t="s">
        <v>214</v>
      </c>
      <c r="B452" s="4" t="s">
        <v>155</v>
      </c>
      <c r="C452" s="6" t="n">
        <v>58.702</v>
      </c>
      <c r="D452" s="4" t="s">
        <v>456</v>
      </c>
      <c r="E452" s="18" t="s">
        <v>485</v>
      </c>
    </row>
    <row r="453" customFormat="false" ht="15" hidden="false" customHeight="true" outlineLevel="0" collapsed="false">
      <c r="A453" s="4" t="s">
        <v>214</v>
      </c>
      <c r="B453" s="4" t="s">
        <v>155</v>
      </c>
      <c r="C453" s="6" t="n">
        <v>60.994</v>
      </c>
      <c r="D453" s="17" t="s">
        <v>455</v>
      </c>
      <c r="E453" s="18" t="s">
        <v>612</v>
      </c>
    </row>
    <row r="454" customFormat="false" ht="15" hidden="false" customHeight="true" outlineLevel="0" collapsed="false">
      <c r="A454" s="4" t="s">
        <v>214</v>
      </c>
      <c r="B454" s="4" t="s">
        <v>155</v>
      </c>
      <c r="C454" s="6" t="n">
        <v>61.009</v>
      </c>
      <c r="D454" s="4" t="s">
        <v>460</v>
      </c>
      <c r="E454" s="18" t="s">
        <v>503</v>
      </c>
    </row>
    <row r="455" customFormat="false" ht="15" hidden="false" customHeight="true" outlineLevel="0" collapsed="false">
      <c r="A455" s="4" t="s">
        <v>214</v>
      </c>
      <c r="B455" s="4" t="s">
        <v>155</v>
      </c>
      <c r="C455" s="6" t="n">
        <v>61.063</v>
      </c>
      <c r="D455" s="4" t="s">
        <v>456</v>
      </c>
      <c r="E455" s="18" t="s">
        <v>468</v>
      </c>
    </row>
    <row r="456" customFormat="false" ht="15" hidden="false" customHeight="true" outlineLevel="0" collapsed="false">
      <c r="A456" s="4" t="s">
        <v>214</v>
      </c>
      <c r="B456" s="4" t="s">
        <v>155</v>
      </c>
      <c r="C456" s="6" t="n">
        <v>69.346</v>
      </c>
      <c r="D456" s="4" t="s">
        <v>456</v>
      </c>
      <c r="E456" s="18" t="s">
        <v>473</v>
      </c>
    </row>
    <row r="457" customFormat="false" ht="15" hidden="false" customHeight="true" outlineLevel="0" collapsed="false">
      <c r="A457" s="4" t="s">
        <v>220</v>
      </c>
      <c r="B457" s="4" t="s">
        <v>155</v>
      </c>
      <c r="C457" s="6" t="n">
        <v>7.296</v>
      </c>
      <c r="D457" s="17" t="s">
        <v>455</v>
      </c>
      <c r="E457" s="18" t="s">
        <v>221</v>
      </c>
    </row>
    <row r="458" customFormat="false" ht="15" hidden="false" customHeight="true" outlineLevel="0" collapsed="false">
      <c r="A458" s="4" t="s">
        <v>220</v>
      </c>
      <c r="B458" s="4" t="s">
        <v>155</v>
      </c>
      <c r="C458" s="6" t="n">
        <v>8.231</v>
      </c>
      <c r="D458" s="4" t="s">
        <v>460</v>
      </c>
      <c r="E458" s="18" t="s">
        <v>57</v>
      </c>
    </row>
    <row r="459" customFormat="false" ht="15" hidden="false" customHeight="true" outlineLevel="0" collapsed="false">
      <c r="A459" s="4" t="s">
        <v>220</v>
      </c>
      <c r="B459" s="4" t="s">
        <v>155</v>
      </c>
      <c r="C459" s="6" t="n">
        <v>9.42</v>
      </c>
      <c r="D459" s="4" t="s">
        <v>456</v>
      </c>
      <c r="E459" s="18" t="s">
        <v>613</v>
      </c>
    </row>
    <row r="460" customFormat="false" ht="15" hidden="false" customHeight="true" outlineLevel="0" collapsed="false">
      <c r="A460" s="4" t="s">
        <v>220</v>
      </c>
      <c r="B460" s="4" t="s">
        <v>155</v>
      </c>
      <c r="C460" s="6" t="n">
        <v>16.208</v>
      </c>
      <c r="D460" s="4" t="s">
        <v>456</v>
      </c>
      <c r="E460" s="18" t="s">
        <v>614</v>
      </c>
    </row>
    <row r="461" customFormat="false" ht="15" hidden="false" customHeight="true" outlineLevel="0" collapsed="false">
      <c r="A461" s="4" t="s">
        <v>220</v>
      </c>
      <c r="B461" s="4" t="s">
        <v>155</v>
      </c>
      <c r="C461" s="6" t="n">
        <v>22.592</v>
      </c>
      <c r="D461" s="4" t="s">
        <v>456</v>
      </c>
      <c r="E461" s="18" t="s">
        <v>615</v>
      </c>
    </row>
    <row r="462" customFormat="false" ht="15" hidden="false" customHeight="true" outlineLevel="0" collapsed="false">
      <c r="A462" s="4" t="s">
        <v>220</v>
      </c>
      <c r="B462" s="4" t="s">
        <v>155</v>
      </c>
      <c r="C462" s="6" t="n">
        <v>32.662</v>
      </c>
      <c r="D462" s="17" t="s">
        <v>455</v>
      </c>
      <c r="E462" s="18" t="s">
        <v>616</v>
      </c>
    </row>
    <row r="463" customFormat="false" ht="15" hidden="false" customHeight="true" outlineLevel="0" collapsed="false">
      <c r="A463" s="4" t="s">
        <v>220</v>
      </c>
      <c r="B463" s="4" t="s">
        <v>155</v>
      </c>
      <c r="C463" s="6" t="n">
        <v>33.857</v>
      </c>
      <c r="D463" s="4" t="s">
        <v>460</v>
      </c>
      <c r="E463" s="18" t="s">
        <v>471</v>
      </c>
    </row>
    <row r="464" customFormat="false" ht="15" hidden="false" customHeight="true" outlineLevel="0" collapsed="false">
      <c r="A464" s="4" t="s">
        <v>220</v>
      </c>
      <c r="B464" s="4" t="s">
        <v>155</v>
      </c>
      <c r="C464" s="6" t="n">
        <v>33.914</v>
      </c>
      <c r="D464" s="4" t="s">
        <v>460</v>
      </c>
      <c r="E464" s="18" t="s">
        <v>71</v>
      </c>
    </row>
    <row r="465" customFormat="false" ht="15" hidden="false" customHeight="true" outlineLevel="0" collapsed="false">
      <c r="A465" s="4" t="s">
        <v>220</v>
      </c>
      <c r="B465" s="4" t="s">
        <v>155</v>
      </c>
      <c r="C465" s="6" t="n">
        <v>34.875</v>
      </c>
      <c r="D465" s="4" t="s">
        <v>456</v>
      </c>
      <c r="E465" s="18" t="s">
        <v>472</v>
      </c>
    </row>
    <row r="466" customFormat="false" ht="15" hidden="false" customHeight="true" outlineLevel="0" collapsed="false">
      <c r="A466" s="4" t="s">
        <v>220</v>
      </c>
      <c r="B466" s="4" t="s">
        <v>155</v>
      </c>
      <c r="C466" s="6" t="n">
        <v>36.74</v>
      </c>
      <c r="D466" s="4" t="s">
        <v>456</v>
      </c>
      <c r="E466" s="18" t="s">
        <v>482</v>
      </c>
    </row>
    <row r="467" customFormat="false" ht="15" hidden="false" customHeight="true" outlineLevel="0" collapsed="false">
      <c r="A467" s="4" t="s">
        <v>220</v>
      </c>
      <c r="B467" s="4" t="s">
        <v>155</v>
      </c>
      <c r="C467" s="6" t="n">
        <v>47.759</v>
      </c>
      <c r="D467" s="17" t="s">
        <v>455</v>
      </c>
      <c r="E467" s="18" t="s">
        <v>617</v>
      </c>
    </row>
    <row r="468" customFormat="false" ht="15" hidden="false" customHeight="true" outlineLevel="0" collapsed="false">
      <c r="A468" s="4" t="s">
        <v>220</v>
      </c>
      <c r="B468" s="4" t="s">
        <v>155</v>
      </c>
      <c r="C468" s="6" t="n">
        <v>48.827</v>
      </c>
      <c r="D468" s="4" t="s">
        <v>456</v>
      </c>
      <c r="E468" s="18" t="s">
        <v>618</v>
      </c>
    </row>
    <row r="469" customFormat="false" ht="15" hidden="false" customHeight="true" outlineLevel="0" collapsed="false">
      <c r="A469" s="4" t="s">
        <v>220</v>
      </c>
      <c r="B469" s="4" t="s">
        <v>155</v>
      </c>
      <c r="C469" s="6" t="n">
        <v>55.542</v>
      </c>
      <c r="D469" s="17" t="s">
        <v>455</v>
      </c>
      <c r="E469" s="18" t="s">
        <v>619</v>
      </c>
    </row>
    <row r="470" customFormat="false" ht="15" hidden="false" customHeight="true" outlineLevel="0" collapsed="false">
      <c r="A470" s="4" t="s">
        <v>220</v>
      </c>
      <c r="B470" s="4" t="s">
        <v>155</v>
      </c>
      <c r="C470" s="6" t="n">
        <v>56.636</v>
      </c>
      <c r="D470" s="4" t="s">
        <v>460</v>
      </c>
      <c r="E470" s="18" t="s">
        <v>552</v>
      </c>
    </row>
    <row r="471" customFormat="false" ht="15" hidden="false" customHeight="true" outlineLevel="0" collapsed="false">
      <c r="A471" s="4" t="s">
        <v>220</v>
      </c>
      <c r="B471" s="4" t="s">
        <v>155</v>
      </c>
      <c r="C471" s="6" t="n">
        <v>57.432</v>
      </c>
      <c r="D471" s="4" t="s">
        <v>456</v>
      </c>
      <c r="E471" s="18" t="s">
        <v>559</v>
      </c>
    </row>
    <row r="472" customFormat="false" ht="15" hidden="false" customHeight="true" outlineLevel="0" collapsed="false">
      <c r="A472" s="4" t="s">
        <v>220</v>
      </c>
      <c r="B472" s="4" t="s">
        <v>155</v>
      </c>
      <c r="C472" s="6" t="n">
        <v>63.892</v>
      </c>
      <c r="D472" s="17" t="s">
        <v>455</v>
      </c>
      <c r="E472" s="18" t="s">
        <v>620</v>
      </c>
    </row>
    <row r="473" customFormat="false" ht="15" hidden="false" customHeight="true" outlineLevel="0" collapsed="false">
      <c r="A473" s="4" t="s">
        <v>220</v>
      </c>
      <c r="B473" s="4" t="s">
        <v>155</v>
      </c>
      <c r="C473" s="6" t="n">
        <v>64.825</v>
      </c>
      <c r="D473" s="4" t="s">
        <v>456</v>
      </c>
      <c r="E473" s="18" t="s">
        <v>621</v>
      </c>
    </row>
    <row r="474" customFormat="false" ht="15" hidden="false" customHeight="true" outlineLevel="0" collapsed="false">
      <c r="A474" s="4" t="s">
        <v>224</v>
      </c>
      <c r="B474" s="4" t="s">
        <v>155</v>
      </c>
      <c r="C474" s="6" t="n">
        <v>12.384</v>
      </c>
      <c r="D474" s="17" t="s">
        <v>455</v>
      </c>
      <c r="E474" s="18" t="s">
        <v>225</v>
      </c>
    </row>
    <row r="475" customFormat="false" ht="15" hidden="false" customHeight="true" outlineLevel="0" collapsed="false">
      <c r="A475" s="4" t="s">
        <v>224</v>
      </c>
      <c r="B475" s="4" t="s">
        <v>155</v>
      </c>
      <c r="C475" s="6" t="n">
        <v>13.762</v>
      </c>
      <c r="D475" s="4" t="s">
        <v>460</v>
      </c>
      <c r="E475" s="18" t="s">
        <v>461</v>
      </c>
    </row>
    <row r="476" customFormat="false" ht="15" hidden="false" customHeight="true" outlineLevel="0" collapsed="false">
      <c r="A476" s="4" t="s">
        <v>224</v>
      </c>
      <c r="B476" s="4" t="s">
        <v>155</v>
      </c>
      <c r="C476" s="6" t="n">
        <v>14.887</v>
      </c>
      <c r="D476" s="4" t="s">
        <v>456</v>
      </c>
      <c r="E476" s="18" t="s">
        <v>462</v>
      </c>
    </row>
    <row r="477" customFormat="false" ht="15" hidden="false" customHeight="true" outlineLevel="0" collapsed="false">
      <c r="A477" s="4" t="s">
        <v>224</v>
      </c>
      <c r="B477" s="4" t="s">
        <v>155</v>
      </c>
      <c r="C477" s="6" t="n">
        <v>19.562</v>
      </c>
      <c r="D477" s="4" t="s">
        <v>456</v>
      </c>
      <c r="E477" s="18" t="s">
        <v>463</v>
      </c>
    </row>
    <row r="478" customFormat="false" ht="15" hidden="false" customHeight="true" outlineLevel="0" collapsed="false">
      <c r="A478" s="4" t="s">
        <v>224</v>
      </c>
      <c r="B478" s="4" t="s">
        <v>155</v>
      </c>
      <c r="C478" s="6" t="n">
        <v>28.329</v>
      </c>
      <c r="D478" s="17" t="s">
        <v>455</v>
      </c>
      <c r="E478" s="18" t="s">
        <v>86</v>
      </c>
    </row>
    <row r="479" customFormat="false" ht="15" hidden="false" customHeight="true" outlineLevel="0" collapsed="false">
      <c r="A479" s="4" t="s">
        <v>224</v>
      </c>
      <c r="B479" s="4" t="s">
        <v>155</v>
      </c>
      <c r="C479" s="6" t="n">
        <v>28.335</v>
      </c>
      <c r="D479" s="4" t="s">
        <v>460</v>
      </c>
      <c r="E479" s="18" t="s">
        <v>57</v>
      </c>
    </row>
    <row r="480" customFormat="false" ht="15" hidden="false" customHeight="true" outlineLevel="0" collapsed="false">
      <c r="A480" s="4" t="s">
        <v>224</v>
      </c>
      <c r="B480" s="4" t="s">
        <v>155</v>
      </c>
      <c r="C480" s="6" t="n">
        <v>28.377</v>
      </c>
      <c r="D480" s="4" t="s">
        <v>456</v>
      </c>
      <c r="E480" s="18" t="s">
        <v>464</v>
      </c>
    </row>
    <row r="481" customFormat="false" ht="15" hidden="false" customHeight="true" outlineLevel="0" collapsed="false">
      <c r="A481" s="4" t="s">
        <v>224</v>
      </c>
      <c r="B481" s="4" t="s">
        <v>155</v>
      </c>
      <c r="C481" s="6" t="n">
        <v>33.192</v>
      </c>
      <c r="D481" s="4" t="s">
        <v>456</v>
      </c>
      <c r="E481" s="18" t="s">
        <v>465</v>
      </c>
    </row>
    <row r="482" customFormat="false" ht="15" hidden="false" customHeight="true" outlineLevel="0" collapsed="false">
      <c r="A482" s="4" t="s">
        <v>224</v>
      </c>
      <c r="B482" s="4" t="s">
        <v>155</v>
      </c>
      <c r="C482" s="6" t="n">
        <v>35.847</v>
      </c>
      <c r="D482" s="17" t="s">
        <v>455</v>
      </c>
      <c r="E482" s="18" t="s">
        <v>622</v>
      </c>
    </row>
    <row r="483" customFormat="false" ht="15" hidden="false" customHeight="true" outlineLevel="0" collapsed="false">
      <c r="A483" s="4" t="s">
        <v>224</v>
      </c>
      <c r="B483" s="4" t="s">
        <v>155</v>
      </c>
      <c r="C483" s="6" t="n">
        <v>36.996</v>
      </c>
      <c r="D483" s="4" t="s">
        <v>460</v>
      </c>
      <c r="E483" s="18" t="s">
        <v>471</v>
      </c>
    </row>
    <row r="484" customFormat="false" ht="15" hidden="false" customHeight="true" outlineLevel="0" collapsed="false">
      <c r="A484" s="4" t="s">
        <v>224</v>
      </c>
      <c r="B484" s="4" t="s">
        <v>155</v>
      </c>
      <c r="C484" s="6" t="n">
        <v>41.023</v>
      </c>
      <c r="D484" s="4" t="s">
        <v>456</v>
      </c>
      <c r="E484" s="18" t="s">
        <v>515</v>
      </c>
    </row>
    <row r="485" customFormat="false" ht="15" hidden="false" customHeight="true" outlineLevel="0" collapsed="false">
      <c r="A485" s="4" t="s">
        <v>224</v>
      </c>
      <c r="B485" s="4" t="s">
        <v>155</v>
      </c>
      <c r="C485" s="6" t="n">
        <v>50.663</v>
      </c>
      <c r="D485" s="17" t="s">
        <v>455</v>
      </c>
      <c r="E485" s="18" t="s">
        <v>484</v>
      </c>
    </row>
    <row r="486" customFormat="false" ht="15" hidden="false" customHeight="true" outlineLevel="0" collapsed="false">
      <c r="A486" s="4" t="s">
        <v>224</v>
      </c>
      <c r="B486" s="4" t="s">
        <v>155</v>
      </c>
      <c r="C486" s="6" t="n">
        <v>50.682</v>
      </c>
      <c r="D486" s="4" t="s">
        <v>460</v>
      </c>
      <c r="E486" s="18" t="s">
        <v>467</v>
      </c>
    </row>
    <row r="487" customFormat="false" ht="15" hidden="false" customHeight="true" outlineLevel="0" collapsed="false">
      <c r="A487" s="4" t="s">
        <v>224</v>
      </c>
      <c r="B487" s="4" t="s">
        <v>155</v>
      </c>
      <c r="C487" s="6" t="n">
        <v>50.737</v>
      </c>
      <c r="D487" s="4" t="s">
        <v>456</v>
      </c>
      <c r="E487" s="18" t="s">
        <v>468</v>
      </c>
    </row>
    <row r="488" customFormat="false" ht="15" hidden="false" customHeight="true" outlineLevel="0" collapsed="false">
      <c r="A488" s="4" t="s">
        <v>224</v>
      </c>
      <c r="B488" s="4" t="s">
        <v>155</v>
      </c>
      <c r="C488" s="6" t="n">
        <v>54.869</v>
      </c>
      <c r="D488" s="4" t="s">
        <v>456</v>
      </c>
      <c r="E488" s="18" t="s">
        <v>500</v>
      </c>
    </row>
    <row r="489" customFormat="false" ht="15" hidden="false" customHeight="true" outlineLevel="0" collapsed="false">
      <c r="A489" s="4" t="s">
        <v>229</v>
      </c>
      <c r="B489" s="4" t="s">
        <v>230</v>
      </c>
      <c r="C489" s="6" t="n">
        <v>5.713</v>
      </c>
      <c r="D489" s="17" t="s">
        <v>455</v>
      </c>
      <c r="E489" s="18" t="s">
        <v>232</v>
      </c>
    </row>
    <row r="490" customFormat="false" ht="15" hidden="false" customHeight="true" outlineLevel="0" collapsed="false">
      <c r="A490" s="4" t="s">
        <v>229</v>
      </c>
      <c r="B490" s="4" t="s">
        <v>230</v>
      </c>
      <c r="C490" s="6" t="n">
        <v>6.622</v>
      </c>
      <c r="D490" s="4" t="s">
        <v>456</v>
      </c>
      <c r="E490" s="18" t="s">
        <v>623</v>
      </c>
    </row>
    <row r="491" customFormat="false" ht="15" hidden="false" customHeight="true" outlineLevel="0" collapsed="false">
      <c r="A491" s="4" t="s">
        <v>234</v>
      </c>
      <c r="B491" s="4" t="s">
        <v>230</v>
      </c>
      <c r="C491" s="6" t="n">
        <v>9.739</v>
      </c>
      <c r="D491" s="17" t="s">
        <v>455</v>
      </c>
      <c r="E491" s="18" t="s">
        <v>235</v>
      </c>
    </row>
    <row r="492" customFormat="false" ht="15" hidden="false" customHeight="true" outlineLevel="0" collapsed="false">
      <c r="A492" s="4" t="s">
        <v>234</v>
      </c>
      <c r="B492" s="4" t="s">
        <v>230</v>
      </c>
      <c r="C492" s="6" t="n">
        <v>10.795</v>
      </c>
      <c r="D492" s="4" t="s">
        <v>456</v>
      </c>
      <c r="E492" s="18" t="s">
        <v>624</v>
      </c>
    </row>
    <row r="493" customFormat="false" ht="15" hidden="false" customHeight="true" outlineLevel="0" collapsed="false">
      <c r="A493" s="4" t="s">
        <v>234</v>
      </c>
      <c r="B493" s="4" t="s">
        <v>230</v>
      </c>
      <c r="C493" s="6" t="n">
        <v>13.452</v>
      </c>
      <c r="D493" s="4" t="s">
        <v>456</v>
      </c>
      <c r="E493" s="18" t="s">
        <v>625</v>
      </c>
    </row>
    <row r="494" customFormat="false" ht="15" hidden="false" customHeight="true" outlineLevel="0" collapsed="false">
      <c r="A494" s="4" t="s">
        <v>238</v>
      </c>
      <c r="B494" s="4" t="s">
        <v>230</v>
      </c>
      <c r="C494" s="6" t="n">
        <v>4.175</v>
      </c>
      <c r="D494" s="17" t="s">
        <v>455</v>
      </c>
      <c r="E494" s="18" t="s">
        <v>239</v>
      </c>
    </row>
    <row r="495" customFormat="false" ht="15" hidden="false" customHeight="true" outlineLevel="0" collapsed="false">
      <c r="A495" s="4" t="s">
        <v>238</v>
      </c>
      <c r="B495" s="4" t="s">
        <v>230</v>
      </c>
      <c r="C495" s="6" t="n">
        <v>4.189</v>
      </c>
      <c r="D495" s="4" t="s">
        <v>460</v>
      </c>
      <c r="E495" s="18" t="s">
        <v>626</v>
      </c>
    </row>
    <row r="496" customFormat="false" ht="15" hidden="false" customHeight="true" outlineLevel="0" collapsed="false">
      <c r="A496" s="4" t="s">
        <v>238</v>
      </c>
      <c r="B496" s="4" t="s">
        <v>230</v>
      </c>
      <c r="C496" s="6" t="n">
        <v>6.201</v>
      </c>
      <c r="D496" s="4" t="s">
        <v>456</v>
      </c>
      <c r="E496" s="18" t="s">
        <v>627</v>
      </c>
    </row>
    <row r="497" customFormat="false" ht="15" hidden="false" customHeight="true" outlineLevel="0" collapsed="false">
      <c r="A497" s="4" t="s">
        <v>238</v>
      </c>
      <c r="B497" s="4" t="s">
        <v>230</v>
      </c>
      <c r="C497" s="6" t="n">
        <v>11.641</v>
      </c>
      <c r="D497" s="4" t="s">
        <v>456</v>
      </c>
      <c r="E497" s="18" t="s">
        <v>628</v>
      </c>
    </row>
    <row r="498" customFormat="false" ht="15" hidden="false" customHeight="true" outlineLevel="0" collapsed="false">
      <c r="A498" s="4" t="s">
        <v>238</v>
      </c>
      <c r="B498" s="4" t="s">
        <v>230</v>
      </c>
      <c r="C498" s="6" t="n">
        <v>23.622</v>
      </c>
      <c r="D498" s="17" t="s">
        <v>455</v>
      </c>
      <c r="E498" s="18" t="s">
        <v>629</v>
      </c>
    </row>
    <row r="499" customFormat="false" ht="15" hidden="false" customHeight="true" outlineLevel="0" collapsed="false">
      <c r="A499" s="4" t="s">
        <v>238</v>
      </c>
      <c r="B499" s="4" t="s">
        <v>230</v>
      </c>
      <c r="C499" s="6" t="n">
        <v>24.665</v>
      </c>
      <c r="D499" s="4" t="s">
        <v>456</v>
      </c>
      <c r="E499" s="18" t="s">
        <v>518</v>
      </c>
    </row>
    <row r="500" customFormat="false" ht="15" hidden="false" customHeight="true" outlineLevel="0" collapsed="false">
      <c r="A500" s="4" t="s">
        <v>238</v>
      </c>
      <c r="B500" s="4" t="s">
        <v>230</v>
      </c>
      <c r="C500" s="6" t="n">
        <v>31.251</v>
      </c>
      <c r="D500" s="17" t="s">
        <v>455</v>
      </c>
      <c r="E500" s="18" t="s">
        <v>630</v>
      </c>
    </row>
    <row r="501" customFormat="false" ht="15" hidden="false" customHeight="true" outlineLevel="0" collapsed="false">
      <c r="A501" s="4" t="s">
        <v>238</v>
      </c>
      <c r="B501" s="4" t="s">
        <v>230</v>
      </c>
      <c r="C501" s="6" t="n">
        <v>31.254</v>
      </c>
      <c r="D501" s="4" t="s">
        <v>460</v>
      </c>
      <c r="E501" s="18" t="s">
        <v>57</v>
      </c>
    </row>
    <row r="502" customFormat="false" ht="15" hidden="false" customHeight="true" outlineLevel="0" collapsed="false">
      <c r="A502" s="4" t="s">
        <v>238</v>
      </c>
      <c r="B502" s="4" t="s">
        <v>230</v>
      </c>
      <c r="C502" s="6" t="n">
        <v>31.305</v>
      </c>
      <c r="D502" s="4" t="s">
        <v>456</v>
      </c>
      <c r="E502" s="18" t="s">
        <v>464</v>
      </c>
    </row>
    <row r="503" customFormat="false" ht="15" hidden="false" customHeight="true" outlineLevel="0" collapsed="false">
      <c r="A503" s="4" t="s">
        <v>238</v>
      </c>
      <c r="B503" s="4" t="s">
        <v>230</v>
      </c>
      <c r="C503" s="6" t="n">
        <v>36.394</v>
      </c>
      <c r="D503" s="4" t="s">
        <v>456</v>
      </c>
      <c r="E503" s="18" t="s">
        <v>631</v>
      </c>
    </row>
    <row r="504" customFormat="false" ht="15" hidden="false" customHeight="true" outlineLevel="0" collapsed="false">
      <c r="A504" s="4" t="s">
        <v>238</v>
      </c>
      <c r="B504" s="4" t="s">
        <v>230</v>
      </c>
      <c r="C504" s="6" t="n">
        <v>45.927</v>
      </c>
      <c r="D504" s="17" t="s">
        <v>455</v>
      </c>
      <c r="E504" s="18" t="s">
        <v>632</v>
      </c>
    </row>
    <row r="505" customFormat="false" ht="15" hidden="false" customHeight="true" outlineLevel="0" collapsed="false">
      <c r="A505" s="4" t="s">
        <v>238</v>
      </c>
      <c r="B505" s="4" t="s">
        <v>230</v>
      </c>
      <c r="C505" s="6" t="n">
        <v>47.084</v>
      </c>
      <c r="D505" s="4" t="s">
        <v>460</v>
      </c>
      <c r="E505" s="18" t="s">
        <v>503</v>
      </c>
    </row>
    <row r="506" customFormat="false" ht="15" hidden="false" customHeight="true" outlineLevel="0" collapsed="false">
      <c r="A506" s="4" t="s">
        <v>238</v>
      </c>
      <c r="B506" s="4" t="s">
        <v>230</v>
      </c>
      <c r="C506" s="6" t="n">
        <v>47.106</v>
      </c>
      <c r="D506" s="4" t="s">
        <v>456</v>
      </c>
      <c r="E506" s="18" t="s">
        <v>468</v>
      </c>
    </row>
    <row r="507" customFormat="false" ht="15" hidden="false" customHeight="true" outlineLevel="0" collapsed="false">
      <c r="A507" s="4" t="s">
        <v>238</v>
      </c>
      <c r="B507" s="4" t="s">
        <v>230</v>
      </c>
      <c r="C507" s="6" t="n">
        <v>55.196</v>
      </c>
      <c r="D507" s="4" t="s">
        <v>456</v>
      </c>
      <c r="E507" s="18" t="s">
        <v>473</v>
      </c>
    </row>
    <row r="508" customFormat="false" ht="15" hidden="false" customHeight="true" outlineLevel="0" collapsed="false">
      <c r="A508" s="4" t="s">
        <v>243</v>
      </c>
      <c r="B508" s="4" t="s">
        <v>230</v>
      </c>
      <c r="C508" s="6" t="n">
        <v>5.764</v>
      </c>
      <c r="D508" s="17" t="s">
        <v>455</v>
      </c>
      <c r="E508" s="18" t="s">
        <v>244</v>
      </c>
    </row>
    <row r="509" customFormat="false" ht="15" hidden="false" customHeight="true" outlineLevel="0" collapsed="false">
      <c r="A509" s="4" t="s">
        <v>243</v>
      </c>
      <c r="B509" s="4" t="s">
        <v>230</v>
      </c>
      <c r="C509" s="6" t="n">
        <v>6.869</v>
      </c>
      <c r="D509" s="4" t="s">
        <v>456</v>
      </c>
      <c r="E509" s="18" t="s">
        <v>633</v>
      </c>
    </row>
    <row r="510" customFormat="false" ht="15" hidden="false" customHeight="true" outlineLevel="0" collapsed="false">
      <c r="A510" s="4" t="s">
        <v>243</v>
      </c>
      <c r="B510" s="4" t="s">
        <v>230</v>
      </c>
      <c r="C510" s="6" t="n">
        <v>17.74</v>
      </c>
      <c r="D510" s="17" t="s">
        <v>455</v>
      </c>
      <c r="E510" s="18" t="s">
        <v>634</v>
      </c>
    </row>
    <row r="511" customFormat="false" ht="15" hidden="false" customHeight="true" outlineLevel="0" collapsed="false">
      <c r="A511" s="4" t="s">
        <v>243</v>
      </c>
      <c r="B511" s="4" t="s">
        <v>230</v>
      </c>
      <c r="C511" s="6" t="n">
        <v>19.064</v>
      </c>
      <c r="D511" s="4" t="s">
        <v>460</v>
      </c>
      <c r="E511" s="18" t="s">
        <v>635</v>
      </c>
    </row>
    <row r="512" customFormat="false" ht="15" hidden="false" customHeight="true" outlineLevel="0" collapsed="false">
      <c r="A512" s="4" t="s">
        <v>243</v>
      </c>
      <c r="B512" s="4" t="s">
        <v>230</v>
      </c>
      <c r="C512" s="6" t="n">
        <v>19.123</v>
      </c>
      <c r="D512" s="4" t="s">
        <v>456</v>
      </c>
      <c r="E512" s="18" t="s">
        <v>636</v>
      </c>
    </row>
    <row r="513" customFormat="false" ht="15" hidden="false" customHeight="true" outlineLevel="0" collapsed="false">
      <c r="A513" s="4" t="s">
        <v>243</v>
      </c>
      <c r="B513" s="4" t="s">
        <v>230</v>
      </c>
      <c r="C513" s="6" t="n">
        <v>21.821</v>
      </c>
      <c r="D513" s="4" t="s">
        <v>456</v>
      </c>
      <c r="E513" s="18" t="s">
        <v>479</v>
      </c>
    </row>
    <row r="514" customFormat="false" ht="15" hidden="false" customHeight="true" outlineLevel="0" collapsed="false">
      <c r="A514" s="4" t="s">
        <v>243</v>
      </c>
      <c r="B514" s="4" t="s">
        <v>230</v>
      </c>
      <c r="C514" s="6" t="n">
        <v>25.139</v>
      </c>
      <c r="D514" s="4" t="s">
        <v>456</v>
      </c>
      <c r="E514" s="18" t="s">
        <v>480</v>
      </c>
    </row>
    <row r="515" customFormat="false" ht="15" hidden="false" customHeight="true" outlineLevel="0" collapsed="false">
      <c r="A515" s="4" t="s">
        <v>243</v>
      </c>
      <c r="B515" s="4" t="s">
        <v>230</v>
      </c>
      <c r="C515" s="6" t="n">
        <v>33.368</v>
      </c>
      <c r="D515" s="17" t="s">
        <v>455</v>
      </c>
      <c r="E515" s="18" t="s">
        <v>86</v>
      </c>
    </row>
    <row r="516" customFormat="false" ht="15" hidden="false" customHeight="true" outlineLevel="0" collapsed="false">
      <c r="A516" s="4" t="s">
        <v>243</v>
      </c>
      <c r="B516" s="4" t="s">
        <v>230</v>
      </c>
      <c r="C516" s="6" t="n">
        <v>33.372</v>
      </c>
      <c r="D516" s="4" t="s">
        <v>460</v>
      </c>
      <c r="E516" s="18" t="s">
        <v>57</v>
      </c>
    </row>
    <row r="517" customFormat="false" ht="15" hidden="false" customHeight="true" outlineLevel="0" collapsed="false">
      <c r="A517" s="4" t="s">
        <v>243</v>
      </c>
      <c r="B517" s="4" t="s">
        <v>230</v>
      </c>
      <c r="C517" s="6" t="n">
        <v>33.397</v>
      </c>
      <c r="D517" s="4" t="s">
        <v>456</v>
      </c>
      <c r="E517" s="18" t="s">
        <v>464</v>
      </c>
    </row>
    <row r="518" customFormat="false" ht="15" hidden="false" customHeight="true" outlineLevel="0" collapsed="false">
      <c r="A518" s="4" t="s">
        <v>243</v>
      </c>
      <c r="B518" s="4" t="s">
        <v>230</v>
      </c>
      <c r="C518" s="6" t="n">
        <v>39.011</v>
      </c>
      <c r="D518" s="4" t="s">
        <v>456</v>
      </c>
      <c r="E518" s="18" t="s">
        <v>485</v>
      </c>
    </row>
    <row r="519" customFormat="false" ht="15" hidden="false" customHeight="true" outlineLevel="0" collapsed="false">
      <c r="A519" s="4" t="s">
        <v>243</v>
      </c>
      <c r="B519" s="4" t="s">
        <v>230</v>
      </c>
      <c r="C519" s="6" t="n">
        <v>44.73</v>
      </c>
      <c r="D519" s="17" t="s">
        <v>455</v>
      </c>
      <c r="E519" s="18" t="s">
        <v>637</v>
      </c>
    </row>
    <row r="520" customFormat="false" ht="15" hidden="false" customHeight="true" outlineLevel="0" collapsed="false">
      <c r="A520" s="4" t="s">
        <v>243</v>
      </c>
      <c r="B520" s="4" t="s">
        <v>230</v>
      </c>
      <c r="C520" s="6" t="n">
        <v>45.754</v>
      </c>
      <c r="D520" s="4" t="s">
        <v>460</v>
      </c>
      <c r="E520" s="18" t="s">
        <v>471</v>
      </c>
    </row>
    <row r="521" customFormat="false" ht="15" hidden="false" customHeight="true" outlineLevel="0" collapsed="false">
      <c r="A521" s="4" t="s">
        <v>243</v>
      </c>
      <c r="B521" s="4" t="s">
        <v>230</v>
      </c>
      <c r="C521" s="6" t="n">
        <v>50.026</v>
      </c>
      <c r="D521" s="4" t="s">
        <v>456</v>
      </c>
      <c r="E521" s="18" t="s">
        <v>507</v>
      </c>
    </row>
    <row r="522" customFormat="false" ht="15" hidden="false" customHeight="true" outlineLevel="0" collapsed="false">
      <c r="A522" s="4" t="s">
        <v>243</v>
      </c>
      <c r="B522" s="4" t="s">
        <v>230</v>
      </c>
      <c r="C522" s="6" t="n">
        <v>57.664</v>
      </c>
      <c r="D522" s="17" t="s">
        <v>455</v>
      </c>
      <c r="E522" s="18" t="s">
        <v>638</v>
      </c>
    </row>
    <row r="523" customFormat="false" ht="15" hidden="false" customHeight="true" outlineLevel="0" collapsed="false">
      <c r="A523" s="4" t="s">
        <v>243</v>
      </c>
      <c r="B523" s="4" t="s">
        <v>230</v>
      </c>
      <c r="C523" s="6" t="n">
        <v>57.667</v>
      </c>
      <c r="D523" s="4" t="s">
        <v>460</v>
      </c>
      <c r="E523" s="18" t="s">
        <v>467</v>
      </c>
    </row>
    <row r="524" customFormat="false" ht="15" hidden="false" customHeight="true" outlineLevel="0" collapsed="false">
      <c r="A524" s="4" t="s">
        <v>243</v>
      </c>
      <c r="B524" s="4" t="s">
        <v>230</v>
      </c>
      <c r="C524" s="6" t="n">
        <v>57.718</v>
      </c>
      <c r="D524" s="4" t="s">
        <v>456</v>
      </c>
      <c r="E524" s="18" t="s">
        <v>468</v>
      </c>
    </row>
    <row r="525" customFormat="false" ht="15" hidden="false" customHeight="true" outlineLevel="0" collapsed="false">
      <c r="A525" s="4" t="s">
        <v>243</v>
      </c>
      <c r="B525" s="4" t="s">
        <v>230</v>
      </c>
      <c r="C525" s="6" t="n">
        <v>61.722</v>
      </c>
      <c r="D525" s="4" t="s">
        <v>456</v>
      </c>
      <c r="E525" s="18" t="s">
        <v>500</v>
      </c>
    </row>
    <row r="526" customFormat="false" ht="15" hidden="false" customHeight="true" outlineLevel="0" collapsed="false">
      <c r="A526" s="4" t="s">
        <v>249</v>
      </c>
      <c r="B526" s="4" t="s">
        <v>230</v>
      </c>
      <c r="C526" s="6" t="n">
        <v>4.755</v>
      </c>
      <c r="D526" s="17" t="s">
        <v>455</v>
      </c>
      <c r="E526" s="18" t="s">
        <v>250</v>
      </c>
    </row>
    <row r="527" customFormat="false" ht="15" hidden="false" customHeight="true" outlineLevel="0" collapsed="false">
      <c r="A527" s="4" t="s">
        <v>249</v>
      </c>
      <c r="B527" s="4" t="s">
        <v>230</v>
      </c>
      <c r="C527" s="6" t="n">
        <v>4.758</v>
      </c>
      <c r="D527" s="4" t="s">
        <v>460</v>
      </c>
      <c r="E527" s="18" t="s">
        <v>474</v>
      </c>
    </row>
    <row r="528" customFormat="false" ht="15" hidden="false" customHeight="true" outlineLevel="0" collapsed="false">
      <c r="A528" s="4" t="s">
        <v>249</v>
      </c>
      <c r="B528" s="4" t="s">
        <v>230</v>
      </c>
      <c r="C528" s="6" t="n">
        <v>4.85</v>
      </c>
      <c r="D528" s="4" t="s">
        <v>456</v>
      </c>
      <c r="E528" s="18" t="s">
        <v>475</v>
      </c>
    </row>
    <row r="529" customFormat="false" ht="15" hidden="false" customHeight="true" outlineLevel="0" collapsed="false">
      <c r="A529" s="4" t="s">
        <v>249</v>
      </c>
      <c r="B529" s="4" t="s">
        <v>230</v>
      </c>
      <c r="C529" s="6" t="n">
        <v>21.266</v>
      </c>
      <c r="D529" s="4" t="s">
        <v>456</v>
      </c>
      <c r="E529" s="18" t="s">
        <v>577</v>
      </c>
    </row>
    <row r="530" customFormat="false" ht="15" hidden="false" customHeight="true" outlineLevel="0" collapsed="false">
      <c r="A530" s="4" t="s">
        <v>249</v>
      </c>
      <c r="B530" s="4" t="s">
        <v>230</v>
      </c>
      <c r="C530" s="6" t="n">
        <v>22.375</v>
      </c>
      <c r="D530" s="17" t="s">
        <v>455</v>
      </c>
      <c r="E530" s="18" t="s">
        <v>600</v>
      </c>
    </row>
    <row r="531" customFormat="false" ht="15" hidden="false" customHeight="true" outlineLevel="0" collapsed="false">
      <c r="A531" s="4" t="s">
        <v>249</v>
      </c>
      <c r="B531" s="4" t="s">
        <v>230</v>
      </c>
      <c r="C531" s="6" t="n">
        <v>26.772</v>
      </c>
      <c r="D531" s="17" t="s">
        <v>455</v>
      </c>
      <c r="E531" s="18" t="s">
        <v>639</v>
      </c>
    </row>
    <row r="532" customFormat="false" ht="15" hidden="false" customHeight="true" outlineLevel="0" collapsed="false">
      <c r="A532" s="4" t="s">
        <v>249</v>
      </c>
      <c r="B532" s="4" t="s">
        <v>230</v>
      </c>
      <c r="C532" s="6" t="n">
        <v>28.024</v>
      </c>
      <c r="D532" s="4" t="s">
        <v>456</v>
      </c>
      <c r="E532" s="18" t="s">
        <v>640</v>
      </c>
    </row>
    <row r="533" customFormat="false" ht="15" hidden="false" customHeight="true" outlineLevel="0" collapsed="false">
      <c r="A533" s="4" t="s">
        <v>249</v>
      </c>
      <c r="B533" s="4" t="s">
        <v>230</v>
      </c>
      <c r="C533" s="6" t="n">
        <v>38.838</v>
      </c>
      <c r="D533" s="17" t="s">
        <v>455</v>
      </c>
      <c r="E533" s="18" t="s">
        <v>641</v>
      </c>
    </row>
    <row r="534" customFormat="false" ht="15" hidden="false" customHeight="true" outlineLevel="0" collapsed="false">
      <c r="A534" s="4" t="s">
        <v>249</v>
      </c>
      <c r="B534" s="4" t="s">
        <v>230</v>
      </c>
      <c r="C534" s="6" t="n">
        <v>40.325</v>
      </c>
      <c r="D534" s="4" t="s">
        <v>460</v>
      </c>
      <c r="E534" s="18" t="s">
        <v>477</v>
      </c>
    </row>
    <row r="535" customFormat="false" ht="15" hidden="false" customHeight="true" outlineLevel="0" collapsed="false">
      <c r="A535" s="4" t="s">
        <v>249</v>
      </c>
      <c r="B535" s="4" t="s">
        <v>230</v>
      </c>
      <c r="C535" s="6" t="n">
        <v>40.397</v>
      </c>
      <c r="D535" s="4" t="s">
        <v>456</v>
      </c>
      <c r="E535" s="18" t="s">
        <v>520</v>
      </c>
    </row>
    <row r="536" customFormat="false" ht="15" hidden="false" customHeight="true" outlineLevel="0" collapsed="false">
      <c r="A536" s="4" t="s">
        <v>249</v>
      </c>
      <c r="B536" s="4" t="s">
        <v>230</v>
      </c>
      <c r="C536" s="6" t="n">
        <v>43.93</v>
      </c>
      <c r="D536" s="4" t="s">
        <v>456</v>
      </c>
      <c r="E536" s="18" t="s">
        <v>479</v>
      </c>
    </row>
    <row r="537" customFormat="false" ht="15" hidden="false" customHeight="true" outlineLevel="0" collapsed="false">
      <c r="A537" s="4" t="s">
        <v>249</v>
      </c>
      <c r="B537" s="4" t="s">
        <v>230</v>
      </c>
      <c r="C537" s="6" t="n">
        <v>46.929</v>
      </c>
      <c r="D537" s="4" t="s">
        <v>456</v>
      </c>
      <c r="E537" s="18" t="s">
        <v>480</v>
      </c>
    </row>
    <row r="538" customFormat="false" ht="15" hidden="false" customHeight="true" outlineLevel="0" collapsed="false">
      <c r="A538" s="4" t="s">
        <v>249</v>
      </c>
      <c r="B538" s="4" t="s">
        <v>230</v>
      </c>
      <c r="C538" s="6" t="n">
        <v>53.833</v>
      </c>
      <c r="D538" s="17" t="s">
        <v>455</v>
      </c>
      <c r="E538" s="18" t="s">
        <v>481</v>
      </c>
    </row>
    <row r="539" customFormat="false" ht="15" hidden="false" customHeight="true" outlineLevel="0" collapsed="false">
      <c r="A539" s="4" t="s">
        <v>249</v>
      </c>
      <c r="B539" s="4" t="s">
        <v>230</v>
      </c>
      <c r="C539" s="6" t="n">
        <v>53.838</v>
      </c>
      <c r="D539" s="4" t="s">
        <v>460</v>
      </c>
      <c r="E539" s="18" t="s">
        <v>71</v>
      </c>
    </row>
    <row r="540" customFormat="false" ht="15" hidden="false" customHeight="true" outlineLevel="0" collapsed="false">
      <c r="A540" s="4" t="s">
        <v>249</v>
      </c>
      <c r="B540" s="4" t="s">
        <v>230</v>
      </c>
      <c r="C540" s="6" t="n">
        <v>53.887</v>
      </c>
      <c r="D540" s="4" t="s">
        <v>456</v>
      </c>
      <c r="E540" s="18" t="s">
        <v>482</v>
      </c>
    </row>
    <row r="541" customFormat="false" ht="15" hidden="false" customHeight="true" outlineLevel="0" collapsed="false">
      <c r="A541" s="4" t="s">
        <v>249</v>
      </c>
      <c r="B541" s="4" t="s">
        <v>230</v>
      </c>
      <c r="C541" s="6" t="n">
        <v>57.069</v>
      </c>
      <c r="D541" s="4" t="s">
        <v>456</v>
      </c>
      <c r="E541" s="18" t="s">
        <v>483</v>
      </c>
    </row>
    <row r="542" customFormat="false" ht="15" hidden="false" customHeight="true" outlineLevel="0" collapsed="false">
      <c r="A542" s="4" t="s">
        <v>249</v>
      </c>
      <c r="B542" s="4" t="s">
        <v>230</v>
      </c>
      <c r="C542" s="6" t="n">
        <v>58.712</v>
      </c>
      <c r="D542" s="17" t="s">
        <v>455</v>
      </c>
      <c r="E542" s="18" t="s">
        <v>642</v>
      </c>
    </row>
    <row r="543" customFormat="false" ht="15" hidden="false" customHeight="true" outlineLevel="0" collapsed="false">
      <c r="A543" s="4" t="s">
        <v>249</v>
      </c>
      <c r="B543" s="4" t="s">
        <v>230</v>
      </c>
      <c r="C543" s="6" t="n">
        <v>59.725</v>
      </c>
      <c r="D543" s="4" t="s">
        <v>460</v>
      </c>
      <c r="E543" s="18" t="s">
        <v>471</v>
      </c>
    </row>
    <row r="544" customFormat="false" ht="15" hidden="false" customHeight="true" outlineLevel="0" collapsed="false">
      <c r="A544" s="4" t="s">
        <v>249</v>
      </c>
      <c r="B544" s="4" t="s">
        <v>230</v>
      </c>
      <c r="C544" s="6" t="n">
        <v>62.98</v>
      </c>
      <c r="D544" s="4" t="s">
        <v>456</v>
      </c>
      <c r="E544" s="18" t="s">
        <v>507</v>
      </c>
    </row>
    <row r="545" customFormat="false" ht="15" hidden="false" customHeight="true" outlineLevel="0" collapsed="false">
      <c r="A545" s="4" t="s">
        <v>249</v>
      </c>
      <c r="B545" s="4" t="s">
        <v>230</v>
      </c>
      <c r="C545" s="6" t="n">
        <v>65.903</v>
      </c>
      <c r="D545" s="17" t="s">
        <v>455</v>
      </c>
      <c r="E545" s="18" t="s">
        <v>643</v>
      </c>
    </row>
    <row r="546" customFormat="false" ht="15" hidden="false" customHeight="true" outlineLevel="0" collapsed="false">
      <c r="A546" s="4" t="s">
        <v>249</v>
      </c>
      <c r="B546" s="4" t="s">
        <v>230</v>
      </c>
      <c r="C546" s="6" t="n">
        <v>65.907</v>
      </c>
      <c r="D546" s="4" t="s">
        <v>460</v>
      </c>
      <c r="E546" s="18" t="s">
        <v>467</v>
      </c>
    </row>
    <row r="547" customFormat="false" ht="15" hidden="false" customHeight="true" outlineLevel="0" collapsed="false">
      <c r="A547" s="4" t="s">
        <v>249</v>
      </c>
      <c r="B547" s="4" t="s">
        <v>230</v>
      </c>
      <c r="C547" s="6" t="n">
        <v>65.943</v>
      </c>
      <c r="D547" s="4" t="s">
        <v>456</v>
      </c>
      <c r="E547" s="18" t="s">
        <v>468</v>
      </c>
    </row>
    <row r="548" customFormat="false" ht="15" hidden="false" customHeight="true" outlineLevel="0" collapsed="false">
      <c r="A548" s="4" t="s">
        <v>249</v>
      </c>
      <c r="B548" s="4" t="s">
        <v>230</v>
      </c>
      <c r="C548" s="6" t="n">
        <v>69.937</v>
      </c>
      <c r="D548" s="4" t="s">
        <v>456</v>
      </c>
      <c r="E548" s="18" t="s">
        <v>500</v>
      </c>
    </row>
    <row r="549" customFormat="false" ht="15" hidden="false" customHeight="true" outlineLevel="0" collapsed="false">
      <c r="A549" s="4" t="s">
        <v>254</v>
      </c>
      <c r="B549" s="4" t="s">
        <v>230</v>
      </c>
      <c r="C549" s="6" t="n">
        <v>9.895</v>
      </c>
      <c r="D549" s="4" t="s">
        <v>456</v>
      </c>
      <c r="E549" s="18" t="s">
        <v>560</v>
      </c>
    </row>
    <row r="550" customFormat="false" ht="15" hidden="false" customHeight="true" outlineLevel="0" collapsed="false">
      <c r="A550" s="4" t="s">
        <v>254</v>
      </c>
      <c r="B550" s="4" t="s">
        <v>230</v>
      </c>
      <c r="C550" s="6" t="n">
        <v>17.96</v>
      </c>
      <c r="D550" s="17" t="s">
        <v>455</v>
      </c>
      <c r="E550" s="18" t="s">
        <v>255</v>
      </c>
    </row>
    <row r="551" customFormat="false" ht="15" hidden="false" customHeight="true" outlineLevel="0" collapsed="false">
      <c r="A551" s="4" t="s">
        <v>254</v>
      </c>
      <c r="B551" s="4" t="s">
        <v>230</v>
      </c>
      <c r="C551" s="6" t="n">
        <v>18.799</v>
      </c>
      <c r="D551" s="4" t="s">
        <v>456</v>
      </c>
      <c r="E551" s="18" t="s">
        <v>644</v>
      </c>
    </row>
    <row r="552" customFormat="false" ht="15" hidden="false" customHeight="true" outlineLevel="0" collapsed="false">
      <c r="A552" s="4" t="s">
        <v>254</v>
      </c>
      <c r="B552" s="4" t="s">
        <v>230</v>
      </c>
      <c r="C552" s="6" t="n">
        <v>21.945</v>
      </c>
      <c r="D552" s="4" t="s">
        <v>456</v>
      </c>
      <c r="E552" s="18" t="s">
        <v>645</v>
      </c>
    </row>
    <row r="553" customFormat="false" ht="15" hidden="false" customHeight="true" outlineLevel="0" collapsed="false">
      <c r="A553" s="4" t="s">
        <v>254</v>
      </c>
      <c r="B553" s="4" t="s">
        <v>230</v>
      </c>
      <c r="C553" s="6" t="n">
        <v>27.106</v>
      </c>
      <c r="D553" s="17" t="s">
        <v>455</v>
      </c>
      <c r="E553" s="18" t="s">
        <v>146</v>
      </c>
    </row>
    <row r="554" customFormat="false" ht="15" hidden="false" customHeight="true" outlineLevel="0" collapsed="false">
      <c r="A554" s="4" t="s">
        <v>254</v>
      </c>
      <c r="B554" s="4" t="s">
        <v>230</v>
      </c>
      <c r="C554" s="6" t="n">
        <v>27.126</v>
      </c>
      <c r="D554" s="4" t="s">
        <v>460</v>
      </c>
      <c r="E554" s="18" t="s">
        <v>549</v>
      </c>
    </row>
    <row r="555" customFormat="false" ht="15" hidden="false" customHeight="true" outlineLevel="0" collapsed="false">
      <c r="A555" s="4" t="s">
        <v>254</v>
      </c>
      <c r="B555" s="4" t="s">
        <v>230</v>
      </c>
      <c r="C555" s="6" t="n">
        <v>27.927</v>
      </c>
      <c r="D555" s="4" t="s">
        <v>456</v>
      </c>
      <c r="E555" s="18" t="s">
        <v>494</v>
      </c>
    </row>
    <row r="556" customFormat="false" ht="15" hidden="false" customHeight="true" outlineLevel="0" collapsed="false">
      <c r="A556" s="4" t="s">
        <v>254</v>
      </c>
      <c r="B556" s="4" t="s">
        <v>230</v>
      </c>
      <c r="C556" s="6" t="n">
        <v>32.491</v>
      </c>
      <c r="D556" s="4" t="s">
        <v>456</v>
      </c>
      <c r="E556" s="18" t="s">
        <v>495</v>
      </c>
    </row>
    <row r="557" customFormat="false" ht="15" hidden="false" customHeight="true" outlineLevel="0" collapsed="false">
      <c r="A557" s="4" t="s">
        <v>254</v>
      </c>
      <c r="B557" s="4" t="s">
        <v>230</v>
      </c>
      <c r="C557" s="6" t="n">
        <v>41.303</v>
      </c>
      <c r="D557" s="17" t="s">
        <v>455</v>
      </c>
      <c r="E557" s="18" t="s">
        <v>646</v>
      </c>
    </row>
    <row r="558" customFormat="false" ht="15" hidden="false" customHeight="true" outlineLevel="0" collapsed="false">
      <c r="A558" s="4" t="s">
        <v>254</v>
      </c>
      <c r="B558" s="4" t="s">
        <v>230</v>
      </c>
      <c r="C558" s="6" t="n">
        <v>42.027</v>
      </c>
      <c r="D558" s="4" t="s">
        <v>460</v>
      </c>
      <c r="E558" s="18" t="s">
        <v>471</v>
      </c>
    </row>
    <row r="559" customFormat="false" ht="15" hidden="false" customHeight="true" outlineLevel="0" collapsed="false">
      <c r="A559" s="4" t="s">
        <v>254</v>
      </c>
      <c r="B559" s="4" t="s">
        <v>230</v>
      </c>
      <c r="C559" s="6" t="n">
        <v>42.053</v>
      </c>
      <c r="D559" s="4" t="s">
        <v>456</v>
      </c>
      <c r="E559" s="18" t="s">
        <v>472</v>
      </c>
    </row>
    <row r="560" customFormat="false" ht="15" hidden="false" customHeight="true" outlineLevel="0" collapsed="false">
      <c r="A560" s="4" t="s">
        <v>254</v>
      </c>
      <c r="B560" s="4" t="s">
        <v>230</v>
      </c>
      <c r="C560" s="6" t="n">
        <v>48.411</v>
      </c>
      <c r="D560" s="4" t="s">
        <v>456</v>
      </c>
      <c r="E560" s="18" t="s">
        <v>498</v>
      </c>
    </row>
    <row r="561" customFormat="false" ht="15" hidden="false" customHeight="true" outlineLevel="0" collapsed="false">
      <c r="A561" s="4" t="s">
        <v>254</v>
      </c>
      <c r="B561" s="4" t="s">
        <v>230</v>
      </c>
      <c r="C561" s="6" t="n">
        <v>49.467</v>
      </c>
      <c r="D561" s="17" t="s">
        <v>455</v>
      </c>
      <c r="E561" s="18" t="s">
        <v>647</v>
      </c>
    </row>
    <row r="562" customFormat="false" ht="15" hidden="false" customHeight="true" outlineLevel="0" collapsed="false">
      <c r="A562" s="4" t="s">
        <v>254</v>
      </c>
      <c r="B562" s="4" t="s">
        <v>230</v>
      </c>
      <c r="C562" s="6" t="n">
        <v>53.542</v>
      </c>
      <c r="D562" s="4" t="s">
        <v>456</v>
      </c>
      <c r="E562" s="18" t="s">
        <v>648</v>
      </c>
    </row>
    <row r="563" customFormat="false" ht="15" hidden="false" customHeight="true" outlineLevel="0" collapsed="false">
      <c r="A563" s="4" t="s">
        <v>254</v>
      </c>
      <c r="B563" s="4" t="s">
        <v>230</v>
      </c>
      <c r="C563" s="6" t="n">
        <v>62.026</v>
      </c>
      <c r="D563" s="17" t="s">
        <v>455</v>
      </c>
      <c r="E563" s="18" t="s">
        <v>649</v>
      </c>
    </row>
    <row r="564" customFormat="false" ht="15" hidden="false" customHeight="true" outlineLevel="0" collapsed="false">
      <c r="A564" s="4" t="s">
        <v>254</v>
      </c>
      <c r="B564" s="4" t="s">
        <v>230</v>
      </c>
      <c r="C564" s="6" t="n">
        <v>63.128</v>
      </c>
      <c r="D564" s="4" t="s">
        <v>460</v>
      </c>
      <c r="E564" s="18" t="s">
        <v>523</v>
      </c>
    </row>
    <row r="565" customFormat="false" ht="15" hidden="false" customHeight="true" outlineLevel="0" collapsed="false">
      <c r="A565" s="4" t="s">
        <v>254</v>
      </c>
      <c r="B565" s="4" t="s">
        <v>230</v>
      </c>
      <c r="C565" s="6" t="n">
        <v>63.2</v>
      </c>
      <c r="D565" s="4" t="s">
        <v>460</v>
      </c>
      <c r="E565" s="18" t="s">
        <v>57</v>
      </c>
    </row>
    <row r="566" customFormat="false" ht="15" hidden="false" customHeight="true" outlineLevel="0" collapsed="false">
      <c r="A566" s="4" t="s">
        <v>254</v>
      </c>
      <c r="B566" s="4" t="s">
        <v>230</v>
      </c>
      <c r="C566" s="6" t="n">
        <v>63.245</v>
      </c>
      <c r="D566" s="4" t="s">
        <v>456</v>
      </c>
      <c r="E566" s="18" t="s">
        <v>464</v>
      </c>
    </row>
    <row r="567" customFormat="false" ht="15" hidden="false" customHeight="true" outlineLevel="0" collapsed="false">
      <c r="A567" s="4" t="s">
        <v>254</v>
      </c>
      <c r="B567" s="4" t="s">
        <v>230</v>
      </c>
      <c r="C567" s="6" t="n">
        <v>65.427</v>
      </c>
      <c r="D567" s="4" t="s">
        <v>456</v>
      </c>
      <c r="E567" s="18" t="s">
        <v>524</v>
      </c>
    </row>
    <row r="568" customFormat="false" ht="15" hidden="false" customHeight="true" outlineLevel="0" collapsed="false">
      <c r="A568" s="4" t="s">
        <v>254</v>
      </c>
      <c r="B568" s="4" t="s">
        <v>230</v>
      </c>
      <c r="C568" s="6" t="n">
        <v>68.917</v>
      </c>
      <c r="D568" s="4" t="s">
        <v>456</v>
      </c>
      <c r="E568" s="18" t="s">
        <v>509</v>
      </c>
    </row>
    <row r="569" customFormat="false" ht="15" hidden="false" customHeight="true" outlineLevel="0" collapsed="false">
      <c r="A569" s="4" t="s">
        <v>254</v>
      </c>
      <c r="B569" s="4" t="s">
        <v>230</v>
      </c>
      <c r="C569" s="6" t="n">
        <v>72.948</v>
      </c>
      <c r="D569" s="17" t="s">
        <v>455</v>
      </c>
      <c r="E569" s="18" t="s">
        <v>650</v>
      </c>
    </row>
    <row r="570" customFormat="false" ht="15" hidden="false" customHeight="true" outlineLevel="0" collapsed="false">
      <c r="A570" s="4" t="s">
        <v>254</v>
      </c>
      <c r="B570" s="4" t="s">
        <v>230</v>
      </c>
      <c r="C570" s="6" t="n">
        <v>72.96</v>
      </c>
      <c r="D570" s="4" t="s">
        <v>460</v>
      </c>
      <c r="E570" s="18" t="s">
        <v>467</v>
      </c>
    </row>
    <row r="571" customFormat="false" ht="15" hidden="false" customHeight="true" outlineLevel="0" collapsed="false">
      <c r="A571" s="4" t="s">
        <v>254</v>
      </c>
      <c r="B571" s="4" t="s">
        <v>230</v>
      </c>
      <c r="C571" s="6" t="n">
        <v>72.995</v>
      </c>
      <c r="D571" s="4" t="s">
        <v>456</v>
      </c>
      <c r="E571" s="18" t="s">
        <v>468</v>
      </c>
    </row>
    <row r="572" customFormat="false" ht="15" hidden="false" customHeight="true" outlineLevel="0" collapsed="false">
      <c r="A572" s="4" t="s">
        <v>254</v>
      </c>
      <c r="B572" s="4" t="s">
        <v>230</v>
      </c>
      <c r="C572" s="6" t="n">
        <v>76.611</v>
      </c>
      <c r="D572" s="4" t="s">
        <v>456</v>
      </c>
      <c r="E572" s="18" t="s">
        <v>469</v>
      </c>
    </row>
    <row r="573" customFormat="false" ht="15" hidden="false" customHeight="true" outlineLevel="0" collapsed="false">
      <c r="A573" s="4" t="s">
        <v>254</v>
      </c>
      <c r="B573" s="4" t="s">
        <v>230</v>
      </c>
      <c r="C573" s="6" t="n">
        <v>82.196</v>
      </c>
      <c r="D573" s="17" t="s">
        <v>455</v>
      </c>
      <c r="E573" s="18" t="s">
        <v>651</v>
      </c>
    </row>
    <row r="574" customFormat="false" ht="15" hidden="false" customHeight="true" outlineLevel="0" collapsed="false">
      <c r="A574" s="4" t="s">
        <v>254</v>
      </c>
      <c r="B574" s="4" t="s">
        <v>230</v>
      </c>
      <c r="C574" s="6" t="n">
        <v>83.093</v>
      </c>
      <c r="D574" s="4" t="s">
        <v>460</v>
      </c>
      <c r="E574" s="18" t="s">
        <v>471</v>
      </c>
    </row>
    <row r="575" customFormat="false" ht="15" hidden="false" customHeight="true" outlineLevel="0" collapsed="false">
      <c r="A575" s="4" t="s">
        <v>254</v>
      </c>
      <c r="B575" s="4" t="s">
        <v>230</v>
      </c>
      <c r="C575" s="6" t="n">
        <v>83.91</v>
      </c>
      <c r="D575" s="4" t="s">
        <v>456</v>
      </c>
      <c r="E575" s="18" t="s">
        <v>472</v>
      </c>
    </row>
    <row r="576" customFormat="false" ht="15" hidden="false" customHeight="true" outlineLevel="0" collapsed="false">
      <c r="A576" s="4" t="s">
        <v>254</v>
      </c>
      <c r="B576" s="4" t="s">
        <v>230</v>
      </c>
      <c r="C576" s="6" t="n">
        <v>88.58</v>
      </c>
      <c r="D576" s="4" t="s">
        <v>456</v>
      </c>
      <c r="E576" s="18" t="s">
        <v>473</v>
      </c>
    </row>
    <row r="577" customFormat="false" ht="15" hidden="false" customHeight="true" outlineLevel="0" collapsed="false">
      <c r="A577" s="4" t="s">
        <v>258</v>
      </c>
      <c r="B577" s="4" t="s">
        <v>230</v>
      </c>
      <c r="C577" s="6" t="n">
        <v>8.927</v>
      </c>
      <c r="D577" s="17" t="s">
        <v>455</v>
      </c>
      <c r="E577" s="18" t="s">
        <v>259</v>
      </c>
    </row>
    <row r="578" customFormat="false" ht="15" hidden="false" customHeight="true" outlineLevel="0" collapsed="false">
      <c r="A578" s="4" t="s">
        <v>258</v>
      </c>
      <c r="B578" s="4" t="s">
        <v>230</v>
      </c>
      <c r="C578" s="6" t="n">
        <v>10.942</v>
      </c>
      <c r="D578" s="4" t="s">
        <v>456</v>
      </c>
      <c r="E578" s="18" t="s">
        <v>652</v>
      </c>
    </row>
    <row r="579" customFormat="false" ht="15" hidden="false" customHeight="true" outlineLevel="0" collapsed="false">
      <c r="A579" s="4" t="s">
        <v>258</v>
      </c>
      <c r="B579" s="4" t="s">
        <v>230</v>
      </c>
      <c r="C579" s="6" t="n">
        <v>13.676</v>
      </c>
      <c r="D579" s="4" t="s">
        <v>456</v>
      </c>
      <c r="E579" s="18" t="s">
        <v>653</v>
      </c>
    </row>
    <row r="580" customFormat="false" ht="15" hidden="false" customHeight="true" outlineLevel="0" collapsed="false">
      <c r="A580" s="4" t="s">
        <v>258</v>
      </c>
      <c r="B580" s="4" t="s">
        <v>230</v>
      </c>
      <c r="C580" s="6" t="n">
        <v>18.948</v>
      </c>
      <c r="D580" s="4" t="s">
        <v>456</v>
      </c>
      <c r="E580" s="18" t="s">
        <v>654</v>
      </c>
    </row>
    <row r="581" customFormat="false" ht="15" hidden="false" customHeight="true" outlineLevel="0" collapsed="false">
      <c r="A581" s="4" t="s">
        <v>258</v>
      </c>
      <c r="B581" s="4" t="s">
        <v>230</v>
      </c>
      <c r="C581" s="6" t="n">
        <v>41.485</v>
      </c>
      <c r="D581" s="17" t="s">
        <v>455</v>
      </c>
      <c r="E581" s="18" t="s">
        <v>655</v>
      </c>
    </row>
    <row r="582" customFormat="false" ht="15" hidden="false" customHeight="true" outlineLevel="0" collapsed="false">
      <c r="A582" s="4" t="s">
        <v>258</v>
      </c>
      <c r="B582" s="4" t="s">
        <v>230</v>
      </c>
      <c r="C582" s="6" t="n">
        <v>42.65</v>
      </c>
      <c r="D582" s="4" t="s">
        <v>460</v>
      </c>
      <c r="E582" s="18" t="s">
        <v>552</v>
      </c>
    </row>
    <row r="583" customFormat="false" ht="15" hidden="false" customHeight="true" outlineLevel="0" collapsed="false">
      <c r="A583" s="4" t="s">
        <v>258</v>
      </c>
      <c r="B583" s="4" t="s">
        <v>230</v>
      </c>
      <c r="C583" s="6" t="n">
        <v>43.464</v>
      </c>
      <c r="D583" s="4" t="s">
        <v>456</v>
      </c>
      <c r="E583" s="18" t="s">
        <v>559</v>
      </c>
    </row>
    <row r="584" customFormat="false" ht="15" hidden="false" customHeight="true" outlineLevel="0" collapsed="false">
      <c r="A584" s="4" t="s">
        <v>258</v>
      </c>
      <c r="B584" s="4" t="s">
        <v>230</v>
      </c>
      <c r="C584" s="6" t="n">
        <v>51.929</v>
      </c>
      <c r="D584" s="17" t="s">
        <v>455</v>
      </c>
      <c r="E584" s="18" t="s">
        <v>656</v>
      </c>
    </row>
    <row r="585" customFormat="false" ht="15" hidden="false" customHeight="true" outlineLevel="0" collapsed="false">
      <c r="A585" s="4" t="s">
        <v>258</v>
      </c>
      <c r="B585" s="4" t="s">
        <v>230</v>
      </c>
      <c r="C585" s="6" t="n">
        <v>52.867</v>
      </c>
      <c r="D585" s="4" t="s">
        <v>460</v>
      </c>
      <c r="E585" s="18" t="s">
        <v>553</v>
      </c>
    </row>
    <row r="586" customFormat="false" ht="15" hidden="false" customHeight="true" outlineLevel="0" collapsed="false">
      <c r="A586" s="4" t="s">
        <v>258</v>
      </c>
      <c r="B586" s="4" t="s">
        <v>230</v>
      </c>
      <c r="C586" s="6" t="n">
        <v>53.882</v>
      </c>
      <c r="D586" s="4" t="s">
        <v>456</v>
      </c>
      <c r="E586" s="18" t="s">
        <v>555</v>
      </c>
    </row>
    <row r="587" customFormat="false" ht="15" hidden="false" customHeight="true" outlineLevel="0" collapsed="false">
      <c r="A587" s="4" t="s">
        <v>258</v>
      </c>
      <c r="B587" s="4" t="s">
        <v>230</v>
      </c>
      <c r="C587" s="6" t="n">
        <v>60.422</v>
      </c>
      <c r="D587" s="17" t="s">
        <v>455</v>
      </c>
      <c r="E587" s="18" t="s">
        <v>657</v>
      </c>
    </row>
    <row r="588" customFormat="false" ht="15" hidden="false" customHeight="true" outlineLevel="0" collapsed="false">
      <c r="A588" s="4" t="s">
        <v>258</v>
      </c>
      <c r="B588" s="4" t="s">
        <v>230</v>
      </c>
      <c r="C588" s="6" t="n">
        <v>61.398</v>
      </c>
      <c r="D588" s="4" t="s">
        <v>460</v>
      </c>
      <c r="E588" s="18" t="s">
        <v>658</v>
      </c>
    </row>
    <row r="589" customFormat="false" ht="15" hidden="false" customHeight="true" outlineLevel="0" collapsed="false">
      <c r="A589" s="4" t="s">
        <v>258</v>
      </c>
      <c r="B589" s="4" t="s">
        <v>230</v>
      </c>
      <c r="C589" s="6" t="n">
        <v>62.193</v>
      </c>
      <c r="D589" s="4" t="s">
        <v>456</v>
      </c>
      <c r="E589" s="18" t="s">
        <v>659</v>
      </c>
    </row>
    <row r="590" customFormat="false" ht="15" hidden="false" customHeight="true" outlineLevel="0" collapsed="false">
      <c r="A590" s="4" t="s">
        <v>258</v>
      </c>
      <c r="B590" s="4" t="s">
        <v>230</v>
      </c>
      <c r="C590" s="6" t="n">
        <v>66.011</v>
      </c>
      <c r="D590" s="17" t="s">
        <v>455</v>
      </c>
      <c r="E590" s="18" t="s">
        <v>660</v>
      </c>
    </row>
    <row r="591" customFormat="false" ht="15" hidden="false" customHeight="true" outlineLevel="0" collapsed="false">
      <c r="A591" s="4" t="s">
        <v>258</v>
      </c>
      <c r="B591" s="4" t="s">
        <v>230</v>
      </c>
      <c r="C591" s="6" t="n">
        <v>67.5</v>
      </c>
      <c r="D591" s="4" t="s">
        <v>456</v>
      </c>
      <c r="E591" s="18" t="s">
        <v>661</v>
      </c>
    </row>
    <row r="592" customFormat="false" ht="15" hidden="false" customHeight="true" outlineLevel="0" collapsed="false">
      <c r="A592" s="4" t="s">
        <v>258</v>
      </c>
      <c r="B592" s="4" t="s">
        <v>230</v>
      </c>
      <c r="C592" s="6" t="n">
        <v>71.9</v>
      </c>
      <c r="D592" s="17" t="s">
        <v>455</v>
      </c>
      <c r="E592" s="18" t="s">
        <v>662</v>
      </c>
    </row>
    <row r="593" customFormat="false" ht="15" hidden="false" customHeight="true" outlineLevel="0" collapsed="false">
      <c r="A593" s="4" t="s">
        <v>258</v>
      </c>
      <c r="B593" s="4" t="s">
        <v>230</v>
      </c>
      <c r="C593" s="6" t="n">
        <v>73.001</v>
      </c>
      <c r="D593" s="4" t="s">
        <v>456</v>
      </c>
      <c r="E593" s="18" t="s">
        <v>663</v>
      </c>
    </row>
    <row r="594" customFormat="false" ht="15" hidden="false" customHeight="true" outlineLevel="0" collapsed="false">
      <c r="A594" s="4" t="s">
        <v>258</v>
      </c>
      <c r="B594" s="4" t="s">
        <v>230</v>
      </c>
      <c r="C594" s="6" t="n">
        <v>78.57</v>
      </c>
      <c r="D594" s="4" t="s">
        <v>456</v>
      </c>
      <c r="E594" s="18" t="s">
        <v>664</v>
      </c>
    </row>
    <row r="595" customFormat="false" ht="15" hidden="false" customHeight="true" outlineLevel="0" collapsed="false">
      <c r="A595" s="4" t="s">
        <v>258</v>
      </c>
      <c r="B595" s="4" t="s">
        <v>230</v>
      </c>
      <c r="C595" s="6" t="n">
        <v>86.342</v>
      </c>
      <c r="D595" s="17" t="s">
        <v>455</v>
      </c>
      <c r="E595" s="18" t="s">
        <v>665</v>
      </c>
    </row>
    <row r="596" customFormat="false" ht="15" hidden="false" customHeight="true" outlineLevel="0" collapsed="false">
      <c r="A596" s="4" t="s">
        <v>258</v>
      </c>
      <c r="B596" s="4" t="s">
        <v>230</v>
      </c>
      <c r="C596" s="6" t="n">
        <v>87.46</v>
      </c>
      <c r="D596" s="4" t="s">
        <v>460</v>
      </c>
      <c r="E596" s="18" t="s">
        <v>666</v>
      </c>
    </row>
    <row r="597" customFormat="false" ht="15" hidden="false" customHeight="true" outlineLevel="0" collapsed="false">
      <c r="A597" s="4" t="s">
        <v>258</v>
      </c>
      <c r="B597" s="4" t="s">
        <v>230</v>
      </c>
      <c r="C597" s="6" t="n">
        <v>88.457</v>
      </c>
      <c r="D597" s="4" t="s">
        <v>456</v>
      </c>
      <c r="E597" s="18" t="s">
        <v>667</v>
      </c>
    </row>
    <row r="598" customFormat="false" ht="15" hidden="false" customHeight="true" outlineLevel="0" collapsed="false">
      <c r="A598" s="4" t="s">
        <v>261</v>
      </c>
      <c r="B598" s="4" t="s">
        <v>230</v>
      </c>
      <c r="C598" s="6" t="n">
        <v>7.349</v>
      </c>
      <c r="D598" s="17" t="s">
        <v>455</v>
      </c>
      <c r="E598" s="18" t="s">
        <v>262</v>
      </c>
    </row>
    <row r="599" customFormat="false" ht="15" hidden="false" customHeight="true" outlineLevel="0" collapsed="false">
      <c r="A599" s="4" t="s">
        <v>261</v>
      </c>
      <c r="B599" s="4" t="s">
        <v>230</v>
      </c>
      <c r="C599" s="6" t="n">
        <v>8.654</v>
      </c>
      <c r="D599" s="4" t="s">
        <v>456</v>
      </c>
      <c r="E599" s="18" t="s">
        <v>668</v>
      </c>
    </row>
    <row r="600" customFormat="false" ht="15" hidden="false" customHeight="true" outlineLevel="0" collapsed="false">
      <c r="A600" s="4" t="s">
        <v>264</v>
      </c>
      <c r="B600" s="4" t="s">
        <v>230</v>
      </c>
      <c r="C600" s="6" t="n">
        <v>4.228</v>
      </c>
      <c r="D600" s="17" t="s">
        <v>455</v>
      </c>
      <c r="E600" s="18" t="s">
        <v>265</v>
      </c>
    </row>
    <row r="601" customFormat="false" ht="15" hidden="false" customHeight="true" outlineLevel="0" collapsed="false">
      <c r="A601" s="4" t="s">
        <v>264</v>
      </c>
      <c r="B601" s="4" t="s">
        <v>230</v>
      </c>
      <c r="C601" s="6" t="n">
        <v>6.023</v>
      </c>
      <c r="D601" s="4" t="s">
        <v>456</v>
      </c>
      <c r="E601" s="18" t="s">
        <v>669</v>
      </c>
    </row>
    <row r="602" customFormat="false" ht="15" hidden="false" customHeight="true" outlineLevel="0" collapsed="false">
      <c r="A602" s="4" t="s">
        <v>264</v>
      </c>
      <c r="B602" s="4" t="s">
        <v>230</v>
      </c>
      <c r="C602" s="6" t="n">
        <v>8.799</v>
      </c>
      <c r="D602" s="4" t="s">
        <v>456</v>
      </c>
      <c r="E602" s="18" t="s">
        <v>670</v>
      </c>
    </row>
    <row r="603" customFormat="false" ht="15" hidden="false" customHeight="true" outlineLevel="0" collapsed="false">
      <c r="A603" s="4" t="s">
        <v>268</v>
      </c>
      <c r="B603" s="4" t="s">
        <v>230</v>
      </c>
      <c r="C603" s="6" t="n">
        <v>4.115</v>
      </c>
      <c r="D603" s="17" t="s">
        <v>455</v>
      </c>
      <c r="E603" s="18" t="s">
        <v>269</v>
      </c>
    </row>
    <row r="604" customFormat="false" ht="15" hidden="false" customHeight="true" outlineLevel="0" collapsed="false">
      <c r="A604" s="4" t="s">
        <v>268</v>
      </c>
      <c r="B604" s="4" t="s">
        <v>230</v>
      </c>
      <c r="C604" s="6" t="n">
        <v>5.291</v>
      </c>
      <c r="D604" s="4" t="s">
        <v>460</v>
      </c>
      <c r="E604" s="18" t="s">
        <v>493</v>
      </c>
    </row>
    <row r="605" customFormat="false" ht="15" hidden="false" customHeight="true" outlineLevel="0" collapsed="false">
      <c r="A605" s="4" t="s">
        <v>268</v>
      </c>
      <c r="B605" s="4" t="s">
        <v>230</v>
      </c>
      <c r="C605" s="6" t="n">
        <v>7.09</v>
      </c>
      <c r="D605" s="4" t="s">
        <v>456</v>
      </c>
      <c r="E605" s="18" t="s">
        <v>494</v>
      </c>
    </row>
    <row r="606" customFormat="false" ht="15" hidden="false" customHeight="true" outlineLevel="0" collapsed="false">
      <c r="A606" s="4" t="s">
        <v>268</v>
      </c>
      <c r="B606" s="4" t="s">
        <v>230</v>
      </c>
      <c r="C606" s="6" t="n">
        <v>13.068</v>
      </c>
      <c r="D606" s="4" t="s">
        <v>456</v>
      </c>
      <c r="E606" s="18" t="s">
        <v>495</v>
      </c>
    </row>
    <row r="607" customFormat="false" ht="15" hidden="false" customHeight="true" outlineLevel="0" collapsed="false">
      <c r="A607" s="4" t="s">
        <v>268</v>
      </c>
      <c r="B607" s="4" t="s">
        <v>230</v>
      </c>
      <c r="C607" s="6" t="n">
        <v>19.432</v>
      </c>
      <c r="D607" s="17" t="s">
        <v>455</v>
      </c>
      <c r="E607" s="18" t="s">
        <v>671</v>
      </c>
    </row>
    <row r="608" customFormat="false" ht="15" hidden="false" customHeight="true" outlineLevel="0" collapsed="false">
      <c r="A608" s="4" t="s">
        <v>268</v>
      </c>
      <c r="B608" s="4" t="s">
        <v>230</v>
      </c>
      <c r="C608" s="6" t="n">
        <v>19.435</v>
      </c>
      <c r="D608" s="4" t="s">
        <v>460</v>
      </c>
      <c r="E608" s="18" t="s">
        <v>471</v>
      </c>
    </row>
    <row r="609" customFormat="false" ht="15" hidden="false" customHeight="true" outlineLevel="0" collapsed="false">
      <c r="A609" s="4" t="s">
        <v>268</v>
      </c>
      <c r="B609" s="4" t="s">
        <v>230</v>
      </c>
      <c r="C609" s="6" t="n">
        <v>19.452</v>
      </c>
      <c r="D609" s="4" t="s">
        <v>456</v>
      </c>
      <c r="E609" s="18" t="s">
        <v>472</v>
      </c>
    </row>
    <row r="610" customFormat="false" ht="15" hidden="false" customHeight="true" outlineLevel="0" collapsed="false">
      <c r="A610" s="4" t="s">
        <v>268</v>
      </c>
      <c r="B610" s="4" t="s">
        <v>230</v>
      </c>
      <c r="C610" s="6" t="n">
        <v>25.361</v>
      </c>
      <c r="D610" s="4" t="s">
        <v>456</v>
      </c>
      <c r="E610" s="18" t="s">
        <v>498</v>
      </c>
    </row>
    <row r="611" customFormat="false" ht="15" hidden="false" customHeight="true" outlineLevel="0" collapsed="false">
      <c r="A611" s="4" t="s">
        <v>268</v>
      </c>
      <c r="B611" s="4" t="s">
        <v>230</v>
      </c>
      <c r="C611" s="6" t="n">
        <v>31.623</v>
      </c>
      <c r="D611" s="17" t="s">
        <v>455</v>
      </c>
      <c r="E611" s="18" t="s">
        <v>516</v>
      </c>
    </row>
    <row r="612" customFormat="false" ht="15" hidden="false" customHeight="true" outlineLevel="0" collapsed="false">
      <c r="A612" s="4" t="s">
        <v>268</v>
      </c>
      <c r="B612" s="4" t="s">
        <v>230</v>
      </c>
      <c r="C612" s="6" t="n">
        <v>31.626</v>
      </c>
      <c r="D612" s="4" t="s">
        <v>460</v>
      </c>
      <c r="E612" s="18" t="s">
        <v>467</v>
      </c>
    </row>
    <row r="613" customFormat="false" ht="15" hidden="false" customHeight="true" outlineLevel="0" collapsed="false">
      <c r="A613" s="4" t="s">
        <v>268</v>
      </c>
      <c r="B613" s="4" t="s">
        <v>230</v>
      </c>
      <c r="C613" s="6" t="n">
        <v>31.65</v>
      </c>
      <c r="D613" s="4" t="s">
        <v>456</v>
      </c>
      <c r="E613" s="18" t="s">
        <v>468</v>
      </c>
    </row>
    <row r="614" customFormat="false" ht="15" hidden="false" customHeight="true" outlineLevel="0" collapsed="false">
      <c r="A614" s="4" t="s">
        <v>268</v>
      </c>
      <c r="B614" s="4" t="s">
        <v>230</v>
      </c>
      <c r="C614" s="6" t="n">
        <v>35.581</v>
      </c>
      <c r="D614" s="4" t="s">
        <v>456</v>
      </c>
      <c r="E614" s="18" t="s">
        <v>500</v>
      </c>
    </row>
    <row r="615" customFormat="false" ht="15" hidden="false" customHeight="true" outlineLevel="0" collapsed="false">
      <c r="A615" s="4" t="s">
        <v>272</v>
      </c>
      <c r="B615" s="4" t="s">
        <v>230</v>
      </c>
      <c r="C615" s="6" t="n">
        <v>7.214</v>
      </c>
      <c r="D615" s="17" t="s">
        <v>455</v>
      </c>
      <c r="E615" s="18" t="s">
        <v>273</v>
      </c>
    </row>
    <row r="616" customFormat="false" ht="15" hidden="false" customHeight="true" outlineLevel="0" collapsed="false">
      <c r="A616" s="4" t="s">
        <v>272</v>
      </c>
      <c r="B616" s="4" t="s">
        <v>230</v>
      </c>
      <c r="C616" s="6" t="n">
        <v>8.215</v>
      </c>
      <c r="D616" s="4" t="s">
        <v>460</v>
      </c>
      <c r="E616" s="18" t="s">
        <v>474</v>
      </c>
    </row>
    <row r="617" customFormat="false" ht="15" hidden="false" customHeight="true" outlineLevel="0" collapsed="false">
      <c r="A617" s="4" t="s">
        <v>272</v>
      </c>
      <c r="B617" s="4" t="s">
        <v>230</v>
      </c>
      <c r="C617" s="6" t="n">
        <v>8.228</v>
      </c>
      <c r="D617" s="4" t="s">
        <v>456</v>
      </c>
      <c r="E617" s="18" t="s">
        <v>475</v>
      </c>
    </row>
    <row r="618" customFormat="false" ht="15" hidden="false" customHeight="true" outlineLevel="0" collapsed="false">
      <c r="A618" s="4" t="s">
        <v>272</v>
      </c>
      <c r="B618" s="4" t="s">
        <v>230</v>
      </c>
      <c r="C618" s="6" t="n">
        <v>17.491</v>
      </c>
      <c r="D618" s="17" t="s">
        <v>455</v>
      </c>
      <c r="E618" s="18" t="s">
        <v>672</v>
      </c>
    </row>
    <row r="619" customFormat="false" ht="15" hidden="false" customHeight="true" outlineLevel="0" collapsed="false">
      <c r="A619" s="4" t="s">
        <v>272</v>
      </c>
      <c r="B619" s="4" t="s">
        <v>230</v>
      </c>
      <c r="C619" s="6" t="n">
        <v>18.589</v>
      </c>
      <c r="D619" s="4" t="s">
        <v>460</v>
      </c>
      <c r="E619" s="18" t="s">
        <v>477</v>
      </c>
    </row>
    <row r="620" customFormat="false" ht="15" hidden="false" customHeight="true" outlineLevel="0" collapsed="false">
      <c r="A620" s="4" t="s">
        <v>272</v>
      </c>
      <c r="B620" s="4" t="s">
        <v>230</v>
      </c>
      <c r="C620" s="6" t="n">
        <v>18.615</v>
      </c>
      <c r="D620" s="4" t="s">
        <v>456</v>
      </c>
      <c r="E620" s="18" t="s">
        <v>520</v>
      </c>
    </row>
    <row r="621" customFormat="false" ht="15" hidden="false" customHeight="true" outlineLevel="0" collapsed="false">
      <c r="A621" s="4" t="s">
        <v>272</v>
      </c>
      <c r="B621" s="4" t="s">
        <v>230</v>
      </c>
      <c r="C621" s="6" t="n">
        <v>22.047</v>
      </c>
      <c r="D621" s="4" t="s">
        <v>456</v>
      </c>
      <c r="E621" s="18" t="s">
        <v>479</v>
      </c>
    </row>
    <row r="622" customFormat="false" ht="15" hidden="false" customHeight="true" outlineLevel="0" collapsed="false">
      <c r="A622" s="4" t="s">
        <v>272</v>
      </c>
      <c r="B622" s="4" t="s">
        <v>230</v>
      </c>
      <c r="C622" s="6" t="n">
        <v>28.053</v>
      </c>
      <c r="D622" s="4" t="s">
        <v>456</v>
      </c>
      <c r="E622" s="18" t="s">
        <v>673</v>
      </c>
    </row>
    <row r="623" customFormat="false" ht="15" hidden="false" customHeight="true" outlineLevel="0" collapsed="false">
      <c r="A623" s="4" t="s">
        <v>272</v>
      </c>
      <c r="B623" s="4" t="s">
        <v>230</v>
      </c>
      <c r="C623" s="6" t="n">
        <v>36.328</v>
      </c>
      <c r="D623" s="17" t="s">
        <v>455</v>
      </c>
      <c r="E623" s="18" t="s">
        <v>674</v>
      </c>
    </row>
    <row r="624" customFormat="false" ht="15" hidden="false" customHeight="true" outlineLevel="0" collapsed="false">
      <c r="A624" s="4" t="s">
        <v>272</v>
      </c>
      <c r="B624" s="4" t="s">
        <v>230</v>
      </c>
      <c r="C624" s="6" t="n">
        <v>37.533</v>
      </c>
      <c r="D624" s="4" t="s">
        <v>456</v>
      </c>
      <c r="E624" s="18" t="s">
        <v>675</v>
      </c>
    </row>
    <row r="625" customFormat="false" ht="15" hidden="false" customHeight="true" outlineLevel="0" collapsed="false">
      <c r="A625" s="4" t="s">
        <v>272</v>
      </c>
      <c r="B625" s="4" t="s">
        <v>230</v>
      </c>
      <c r="C625" s="6" t="n">
        <v>45.974</v>
      </c>
      <c r="D625" s="17" t="s">
        <v>455</v>
      </c>
      <c r="E625" s="18" t="s">
        <v>676</v>
      </c>
    </row>
    <row r="626" customFormat="false" ht="15" hidden="false" customHeight="true" outlineLevel="0" collapsed="false">
      <c r="A626" s="4" t="s">
        <v>272</v>
      </c>
      <c r="B626" s="4" t="s">
        <v>230</v>
      </c>
      <c r="C626" s="6" t="n">
        <v>47.025</v>
      </c>
      <c r="D626" s="4" t="s">
        <v>456</v>
      </c>
      <c r="E626" s="18" t="s">
        <v>677</v>
      </c>
    </row>
    <row r="627" customFormat="false" ht="15" hidden="false" customHeight="true" outlineLevel="0" collapsed="false">
      <c r="A627" s="4" t="s">
        <v>272</v>
      </c>
      <c r="B627" s="4" t="s">
        <v>230</v>
      </c>
      <c r="C627" s="6" t="n">
        <v>57.371</v>
      </c>
      <c r="D627" s="17" t="s">
        <v>455</v>
      </c>
      <c r="E627" s="18" t="s">
        <v>678</v>
      </c>
    </row>
    <row r="628" customFormat="false" ht="15" hidden="false" customHeight="true" outlineLevel="0" collapsed="false">
      <c r="A628" s="4" t="s">
        <v>272</v>
      </c>
      <c r="B628" s="4" t="s">
        <v>230</v>
      </c>
      <c r="C628" s="6" t="n">
        <v>58.527</v>
      </c>
      <c r="D628" s="4" t="s">
        <v>460</v>
      </c>
      <c r="E628" s="18" t="s">
        <v>679</v>
      </c>
    </row>
    <row r="629" customFormat="false" ht="15" hidden="false" customHeight="true" outlineLevel="0" collapsed="false">
      <c r="A629" s="4" t="s">
        <v>272</v>
      </c>
      <c r="B629" s="4" t="s">
        <v>230</v>
      </c>
      <c r="C629" s="6" t="n">
        <v>58.571</v>
      </c>
      <c r="D629" s="4" t="s">
        <v>456</v>
      </c>
      <c r="E629" s="18" t="s">
        <v>520</v>
      </c>
    </row>
    <row r="630" customFormat="false" ht="15" hidden="false" customHeight="true" outlineLevel="0" collapsed="false">
      <c r="A630" s="4" t="s">
        <v>272</v>
      </c>
      <c r="B630" s="4" t="s">
        <v>230</v>
      </c>
      <c r="C630" s="6" t="n">
        <v>61.99</v>
      </c>
      <c r="D630" s="4" t="s">
        <v>456</v>
      </c>
      <c r="E630" s="18" t="s">
        <v>479</v>
      </c>
    </row>
    <row r="631" customFormat="false" ht="15" hidden="false" customHeight="true" outlineLevel="0" collapsed="false">
      <c r="A631" s="4" t="s">
        <v>272</v>
      </c>
      <c r="B631" s="4" t="s">
        <v>230</v>
      </c>
      <c r="C631" s="6" t="n">
        <v>65.031</v>
      </c>
      <c r="D631" s="4" t="s">
        <v>456</v>
      </c>
      <c r="E631" s="18" t="s">
        <v>480</v>
      </c>
    </row>
    <row r="632" customFormat="false" ht="15" hidden="false" customHeight="true" outlineLevel="0" collapsed="false">
      <c r="A632" s="4" t="s">
        <v>272</v>
      </c>
      <c r="B632" s="4" t="s">
        <v>230</v>
      </c>
      <c r="C632" s="6" t="n">
        <v>72.889</v>
      </c>
      <c r="D632" s="17" t="s">
        <v>455</v>
      </c>
      <c r="E632" s="18" t="s">
        <v>496</v>
      </c>
    </row>
    <row r="633" customFormat="false" ht="15" hidden="false" customHeight="true" outlineLevel="0" collapsed="false">
      <c r="A633" s="4" t="s">
        <v>272</v>
      </c>
      <c r="B633" s="4" t="s">
        <v>230</v>
      </c>
      <c r="C633" s="6" t="n">
        <v>72.892</v>
      </c>
      <c r="D633" s="4" t="s">
        <v>460</v>
      </c>
      <c r="E633" s="18" t="s">
        <v>471</v>
      </c>
    </row>
    <row r="634" customFormat="false" ht="15" hidden="false" customHeight="true" outlineLevel="0" collapsed="false">
      <c r="A634" s="4" t="s">
        <v>272</v>
      </c>
      <c r="B634" s="4" t="s">
        <v>230</v>
      </c>
      <c r="C634" s="6" t="n">
        <v>72.93</v>
      </c>
      <c r="D634" s="4" t="s">
        <v>456</v>
      </c>
      <c r="E634" s="18" t="s">
        <v>472</v>
      </c>
    </row>
    <row r="635" customFormat="false" ht="15" hidden="false" customHeight="true" outlineLevel="0" collapsed="false">
      <c r="A635" s="4" t="s">
        <v>272</v>
      </c>
      <c r="B635" s="4" t="s">
        <v>230</v>
      </c>
      <c r="C635" s="6" t="n">
        <v>78.88</v>
      </c>
      <c r="D635" s="4" t="s">
        <v>456</v>
      </c>
      <c r="E635" s="18" t="s">
        <v>507</v>
      </c>
    </row>
    <row r="636" customFormat="false" ht="15" hidden="false" customHeight="true" outlineLevel="0" collapsed="false">
      <c r="A636" s="4" t="s">
        <v>272</v>
      </c>
      <c r="B636" s="4" t="s">
        <v>230</v>
      </c>
      <c r="C636" s="6" t="n">
        <v>87.747</v>
      </c>
      <c r="D636" s="17" t="s">
        <v>455</v>
      </c>
      <c r="E636" s="18" t="s">
        <v>484</v>
      </c>
    </row>
    <row r="637" customFormat="false" ht="15" hidden="false" customHeight="true" outlineLevel="0" collapsed="false">
      <c r="A637" s="4" t="s">
        <v>272</v>
      </c>
      <c r="B637" s="4" t="s">
        <v>230</v>
      </c>
      <c r="C637" s="6" t="n">
        <v>87.759</v>
      </c>
      <c r="D637" s="4" t="s">
        <v>460</v>
      </c>
      <c r="E637" s="18" t="s">
        <v>467</v>
      </c>
    </row>
    <row r="638" customFormat="false" ht="15" hidden="false" customHeight="true" outlineLevel="0" collapsed="false">
      <c r="A638" s="4" t="s">
        <v>272</v>
      </c>
      <c r="B638" s="4" t="s">
        <v>230</v>
      </c>
      <c r="C638" s="6" t="n">
        <v>87.773</v>
      </c>
      <c r="D638" s="4" t="s">
        <v>456</v>
      </c>
      <c r="E638" s="18" t="s">
        <v>468</v>
      </c>
    </row>
    <row r="639" customFormat="false" ht="15" hidden="false" customHeight="true" outlineLevel="0" collapsed="false">
      <c r="A639" s="4" t="s">
        <v>272</v>
      </c>
      <c r="B639" s="4" t="s">
        <v>230</v>
      </c>
      <c r="C639" s="6" t="n">
        <v>91.716</v>
      </c>
      <c r="D639" s="4" t="s">
        <v>456</v>
      </c>
      <c r="E639" s="18" t="s">
        <v>500</v>
      </c>
    </row>
    <row r="640" customFormat="false" ht="15" hidden="false" customHeight="true" outlineLevel="0" collapsed="false">
      <c r="A640" s="4" t="s">
        <v>277</v>
      </c>
      <c r="B640" s="4" t="s">
        <v>230</v>
      </c>
      <c r="C640" s="6" t="n">
        <v>7.521</v>
      </c>
      <c r="D640" s="17" t="s">
        <v>455</v>
      </c>
      <c r="E640" s="18" t="s">
        <v>278</v>
      </c>
    </row>
    <row r="641" customFormat="false" ht="15" hidden="false" customHeight="true" outlineLevel="0" collapsed="false">
      <c r="A641" s="4" t="s">
        <v>277</v>
      </c>
      <c r="B641" s="4" t="s">
        <v>230</v>
      </c>
      <c r="C641" s="6" t="n">
        <v>7.86</v>
      </c>
      <c r="D641" s="4" t="s">
        <v>456</v>
      </c>
      <c r="E641" s="18" t="s">
        <v>579</v>
      </c>
    </row>
    <row r="642" customFormat="false" ht="15" hidden="false" customHeight="true" outlineLevel="0" collapsed="false">
      <c r="A642" s="4" t="s">
        <v>277</v>
      </c>
      <c r="B642" s="4" t="s">
        <v>230</v>
      </c>
      <c r="C642" s="6" t="n">
        <v>13.365</v>
      </c>
      <c r="D642" s="17" t="s">
        <v>455</v>
      </c>
      <c r="E642" s="18" t="s">
        <v>516</v>
      </c>
    </row>
    <row r="643" customFormat="false" ht="15" hidden="false" customHeight="true" outlineLevel="0" collapsed="false">
      <c r="A643" s="4" t="s">
        <v>277</v>
      </c>
      <c r="B643" s="4" t="s">
        <v>230</v>
      </c>
      <c r="C643" s="6" t="n">
        <v>13.374</v>
      </c>
      <c r="D643" s="4" t="s">
        <v>460</v>
      </c>
      <c r="E643" s="18" t="s">
        <v>549</v>
      </c>
    </row>
    <row r="644" customFormat="false" ht="15" hidden="false" customHeight="true" outlineLevel="0" collapsed="false">
      <c r="A644" s="4" t="s">
        <v>277</v>
      </c>
      <c r="B644" s="4" t="s">
        <v>230</v>
      </c>
      <c r="C644" s="6" t="n">
        <v>14.195</v>
      </c>
      <c r="D644" s="4" t="s">
        <v>456</v>
      </c>
      <c r="E644" s="18" t="s">
        <v>479</v>
      </c>
    </row>
    <row r="645" customFormat="false" ht="15" hidden="false" customHeight="true" outlineLevel="0" collapsed="false">
      <c r="A645" s="4" t="s">
        <v>277</v>
      </c>
      <c r="B645" s="4" t="s">
        <v>230</v>
      </c>
      <c r="C645" s="6" t="n">
        <v>18.71</v>
      </c>
      <c r="D645" s="4" t="s">
        <v>456</v>
      </c>
      <c r="E645" s="18" t="s">
        <v>480</v>
      </c>
    </row>
    <row r="646" customFormat="false" ht="15" hidden="false" customHeight="true" outlineLevel="0" collapsed="false">
      <c r="A646" s="4" t="s">
        <v>277</v>
      </c>
      <c r="B646" s="4" t="s">
        <v>230</v>
      </c>
      <c r="C646" s="6" t="n">
        <v>28.275</v>
      </c>
      <c r="D646" s="17" t="s">
        <v>455</v>
      </c>
      <c r="E646" s="18" t="s">
        <v>680</v>
      </c>
    </row>
    <row r="647" customFormat="false" ht="15" hidden="false" customHeight="true" outlineLevel="0" collapsed="false">
      <c r="A647" s="4" t="s">
        <v>277</v>
      </c>
      <c r="B647" s="4" t="s">
        <v>230</v>
      </c>
      <c r="C647" s="6" t="n">
        <v>28.289</v>
      </c>
      <c r="D647" s="4" t="s">
        <v>460</v>
      </c>
      <c r="E647" s="18" t="s">
        <v>681</v>
      </c>
    </row>
    <row r="648" customFormat="false" ht="15" hidden="false" customHeight="true" outlineLevel="0" collapsed="false">
      <c r="A648" s="4" t="s">
        <v>277</v>
      </c>
      <c r="B648" s="4" t="s">
        <v>230</v>
      </c>
      <c r="C648" s="6" t="n">
        <v>28.354</v>
      </c>
      <c r="D648" s="4" t="s">
        <v>456</v>
      </c>
      <c r="E648" s="18" t="s">
        <v>482</v>
      </c>
    </row>
    <row r="649" customFormat="false" ht="15" hidden="false" customHeight="true" outlineLevel="0" collapsed="false">
      <c r="A649" s="4" t="s">
        <v>277</v>
      </c>
      <c r="B649" s="4" t="s">
        <v>230</v>
      </c>
      <c r="C649" s="6" t="n">
        <v>34.379</v>
      </c>
      <c r="D649" s="4" t="s">
        <v>456</v>
      </c>
      <c r="E649" s="18" t="s">
        <v>468</v>
      </c>
    </row>
    <row r="650" customFormat="false" ht="15" hidden="false" customHeight="true" outlineLevel="0" collapsed="false">
      <c r="A650" s="4" t="s">
        <v>277</v>
      </c>
      <c r="B650" s="4" t="s">
        <v>230</v>
      </c>
      <c r="C650" s="6" t="n">
        <v>41.475</v>
      </c>
      <c r="D650" s="4" t="s">
        <v>456</v>
      </c>
      <c r="E650" s="18" t="s">
        <v>473</v>
      </c>
    </row>
    <row r="651" customFormat="false" ht="15" hidden="false" customHeight="true" outlineLevel="0" collapsed="false">
      <c r="A651" s="4" t="s">
        <v>280</v>
      </c>
      <c r="B651" s="4" t="s">
        <v>230</v>
      </c>
      <c r="C651" s="6" t="n">
        <v>6.009</v>
      </c>
      <c r="D651" s="17" t="s">
        <v>455</v>
      </c>
      <c r="E651" s="18" t="s">
        <v>281</v>
      </c>
    </row>
    <row r="652" customFormat="false" ht="15" hidden="false" customHeight="true" outlineLevel="0" collapsed="false">
      <c r="A652" s="4" t="s">
        <v>280</v>
      </c>
      <c r="B652" s="4" t="s">
        <v>230</v>
      </c>
      <c r="C652" s="6" t="n">
        <v>6.988</v>
      </c>
      <c r="D652" s="4" t="s">
        <v>456</v>
      </c>
      <c r="E652" s="18" t="s">
        <v>682</v>
      </c>
    </row>
    <row r="653" customFormat="false" ht="15" hidden="false" customHeight="true" outlineLevel="0" collapsed="false">
      <c r="A653" s="4" t="s">
        <v>280</v>
      </c>
      <c r="B653" s="4" t="s">
        <v>230</v>
      </c>
      <c r="C653" s="6" t="n">
        <v>8.444</v>
      </c>
      <c r="D653" s="17" t="s">
        <v>455</v>
      </c>
      <c r="E653" s="18" t="s">
        <v>683</v>
      </c>
    </row>
    <row r="654" customFormat="false" ht="15" hidden="false" customHeight="true" outlineLevel="0" collapsed="false">
      <c r="A654" s="4" t="s">
        <v>280</v>
      </c>
      <c r="B654" s="4" t="s">
        <v>230</v>
      </c>
      <c r="C654" s="6" t="n">
        <v>9.481</v>
      </c>
      <c r="D654" s="4" t="s">
        <v>460</v>
      </c>
      <c r="E654" s="18" t="s">
        <v>57</v>
      </c>
    </row>
    <row r="655" customFormat="false" ht="15" hidden="false" customHeight="true" outlineLevel="0" collapsed="false">
      <c r="A655" s="4" t="s">
        <v>280</v>
      </c>
      <c r="B655" s="4" t="s">
        <v>230</v>
      </c>
      <c r="C655" s="6" t="n">
        <v>10.42</v>
      </c>
      <c r="D655" s="4" t="s">
        <v>456</v>
      </c>
      <c r="E655" s="18" t="s">
        <v>464</v>
      </c>
    </row>
    <row r="656" customFormat="false" ht="15" hidden="false" customHeight="true" outlineLevel="0" collapsed="false">
      <c r="A656" s="4" t="s">
        <v>280</v>
      </c>
      <c r="B656" s="4" t="s">
        <v>230</v>
      </c>
      <c r="C656" s="6" t="n">
        <v>15.404</v>
      </c>
      <c r="D656" s="17" t="s">
        <v>455</v>
      </c>
      <c r="E656" s="18" t="s">
        <v>684</v>
      </c>
    </row>
    <row r="657" customFormat="false" ht="15" hidden="false" customHeight="true" outlineLevel="0" collapsed="false">
      <c r="A657" s="4" t="s">
        <v>280</v>
      </c>
      <c r="B657" s="4" t="s">
        <v>230</v>
      </c>
      <c r="C657" s="6" t="n">
        <v>16.369</v>
      </c>
      <c r="D657" s="4" t="s">
        <v>456</v>
      </c>
      <c r="E657" s="18" t="s">
        <v>685</v>
      </c>
    </row>
    <row r="658" customFormat="false" ht="15" hidden="false" customHeight="true" outlineLevel="0" collapsed="false">
      <c r="A658" s="4" t="s">
        <v>280</v>
      </c>
      <c r="B658" s="4" t="s">
        <v>230</v>
      </c>
      <c r="C658" s="6" t="n">
        <v>19.887</v>
      </c>
      <c r="D658" s="17" t="s">
        <v>455</v>
      </c>
      <c r="E658" s="18" t="s">
        <v>686</v>
      </c>
    </row>
    <row r="659" customFormat="false" ht="15" hidden="false" customHeight="true" outlineLevel="0" collapsed="false">
      <c r="A659" s="4" t="s">
        <v>280</v>
      </c>
      <c r="B659" s="4" t="s">
        <v>230</v>
      </c>
      <c r="C659" s="6" t="n">
        <v>20.624</v>
      </c>
      <c r="D659" s="4" t="s">
        <v>456</v>
      </c>
      <c r="E659" s="18" t="s">
        <v>687</v>
      </c>
    </row>
    <row r="660" customFormat="false" ht="15" hidden="false" customHeight="true" outlineLevel="0" collapsed="false">
      <c r="A660" s="4" t="s">
        <v>280</v>
      </c>
      <c r="B660" s="4" t="s">
        <v>230</v>
      </c>
      <c r="C660" s="6" t="n">
        <v>27.514</v>
      </c>
      <c r="D660" s="17" t="s">
        <v>455</v>
      </c>
      <c r="E660" s="18" t="s">
        <v>688</v>
      </c>
    </row>
    <row r="661" customFormat="false" ht="15" hidden="false" customHeight="true" outlineLevel="0" collapsed="false">
      <c r="A661" s="4" t="s">
        <v>280</v>
      </c>
      <c r="B661" s="4" t="s">
        <v>230</v>
      </c>
      <c r="C661" s="6" t="n">
        <v>28.421</v>
      </c>
      <c r="D661" s="4" t="s">
        <v>456</v>
      </c>
      <c r="E661" s="18" t="s">
        <v>689</v>
      </c>
    </row>
    <row r="662" customFormat="false" ht="15" hidden="false" customHeight="true" outlineLevel="0" collapsed="false">
      <c r="A662" s="4" t="s">
        <v>280</v>
      </c>
      <c r="B662" s="4" t="s">
        <v>230</v>
      </c>
      <c r="C662" s="6" t="n">
        <v>36.078</v>
      </c>
      <c r="D662" s="17" t="s">
        <v>455</v>
      </c>
      <c r="E662" s="18" t="s">
        <v>690</v>
      </c>
    </row>
    <row r="663" customFormat="false" ht="15" hidden="false" customHeight="true" outlineLevel="0" collapsed="false">
      <c r="A663" s="4" t="s">
        <v>280</v>
      </c>
      <c r="B663" s="4" t="s">
        <v>230</v>
      </c>
      <c r="C663" s="6" t="n">
        <v>37.036</v>
      </c>
      <c r="D663" s="4" t="s">
        <v>456</v>
      </c>
      <c r="E663" s="18" t="s">
        <v>691</v>
      </c>
    </row>
    <row r="664" customFormat="false" ht="15" hidden="false" customHeight="true" outlineLevel="0" collapsed="false">
      <c r="A664" s="4" t="s">
        <v>280</v>
      </c>
      <c r="B664" s="4" t="s">
        <v>230</v>
      </c>
      <c r="C664" s="6" t="n">
        <v>38.367</v>
      </c>
      <c r="D664" s="17" t="s">
        <v>455</v>
      </c>
      <c r="E664" s="18" t="s">
        <v>692</v>
      </c>
    </row>
    <row r="665" customFormat="false" ht="15" hidden="false" customHeight="true" outlineLevel="0" collapsed="false">
      <c r="A665" s="4" t="s">
        <v>280</v>
      </c>
      <c r="B665" s="4" t="s">
        <v>230</v>
      </c>
      <c r="C665" s="6" t="n">
        <v>39.309</v>
      </c>
      <c r="D665" s="4" t="s">
        <v>460</v>
      </c>
      <c r="E665" s="18" t="s">
        <v>552</v>
      </c>
    </row>
    <row r="666" customFormat="false" ht="15" hidden="false" customHeight="true" outlineLevel="0" collapsed="false">
      <c r="A666" s="4" t="s">
        <v>280</v>
      </c>
      <c r="B666" s="4" t="s">
        <v>230</v>
      </c>
      <c r="C666" s="6" t="n">
        <v>40.032</v>
      </c>
      <c r="D666" s="4" t="s">
        <v>456</v>
      </c>
      <c r="E666" s="18" t="s">
        <v>559</v>
      </c>
    </row>
    <row r="667" customFormat="false" ht="15" hidden="false" customHeight="true" outlineLevel="0" collapsed="false">
      <c r="A667" s="4" t="s">
        <v>280</v>
      </c>
      <c r="B667" s="4" t="s">
        <v>230</v>
      </c>
      <c r="C667" s="6" t="n">
        <v>48.643</v>
      </c>
      <c r="D667" s="17" t="s">
        <v>455</v>
      </c>
      <c r="E667" s="18" t="s">
        <v>693</v>
      </c>
    </row>
    <row r="668" customFormat="false" ht="15" hidden="false" customHeight="true" outlineLevel="0" collapsed="false">
      <c r="A668" s="4" t="s">
        <v>280</v>
      </c>
      <c r="B668" s="4" t="s">
        <v>230</v>
      </c>
      <c r="C668" s="6" t="n">
        <v>49.426</v>
      </c>
      <c r="D668" s="4" t="s">
        <v>460</v>
      </c>
      <c r="E668" s="18" t="s">
        <v>471</v>
      </c>
    </row>
    <row r="669" customFormat="false" ht="15" hidden="false" customHeight="true" outlineLevel="0" collapsed="false">
      <c r="A669" s="4" t="s">
        <v>280</v>
      </c>
      <c r="B669" s="4" t="s">
        <v>230</v>
      </c>
      <c r="C669" s="6" t="n">
        <v>50.034</v>
      </c>
      <c r="D669" s="4" t="s">
        <v>456</v>
      </c>
      <c r="E669" s="18" t="s">
        <v>472</v>
      </c>
    </row>
    <row r="670" customFormat="false" ht="15" hidden="false" customHeight="true" outlineLevel="0" collapsed="false">
      <c r="A670" s="4" t="s">
        <v>283</v>
      </c>
      <c r="B670" s="4" t="s">
        <v>230</v>
      </c>
      <c r="C670" s="6" t="n">
        <v>7.511</v>
      </c>
      <c r="D670" s="17" t="s">
        <v>455</v>
      </c>
      <c r="E670" s="18" t="s">
        <v>284</v>
      </c>
    </row>
    <row r="671" customFormat="false" ht="15" hidden="false" customHeight="true" outlineLevel="0" collapsed="false">
      <c r="A671" s="4" t="s">
        <v>283</v>
      </c>
      <c r="B671" s="4" t="s">
        <v>230</v>
      </c>
      <c r="C671" s="6" t="n">
        <v>8.489</v>
      </c>
      <c r="D671" s="4" t="s">
        <v>456</v>
      </c>
      <c r="E671" s="18" t="s">
        <v>694</v>
      </c>
    </row>
    <row r="672" customFormat="false" ht="15" hidden="false" customHeight="true" outlineLevel="0" collapsed="false">
      <c r="A672" s="4" t="s">
        <v>286</v>
      </c>
      <c r="B672" s="4" t="s">
        <v>230</v>
      </c>
      <c r="C672" s="6" t="n">
        <v>5.091</v>
      </c>
      <c r="D672" s="17" t="s">
        <v>455</v>
      </c>
      <c r="E672" s="18" t="s">
        <v>287</v>
      </c>
    </row>
    <row r="673" customFormat="false" ht="15" hidden="false" customHeight="true" outlineLevel="0" collapsed="false">
      <c r="A673" s="4" t="s">
        <v>286</v>
      </c>
      <c r="B673" s="4" t="s">
        <v>230</v>
      </c>
      <c r="C673" s="6" t="n">
        <v>6.341</v>
      </c>
      <c r="D673" s="4" t="s">
        <v>456</v>
      </c>
      <c r="E673" s="18" t="s">
        <v>695</v>
      </c>
    </row>
    <row r="674" customFormat="false" ht="15" hidden="false" customHeight="true" outlineLevel="0" collapsed="false">
      <c r="A674" s="4" t="s">
        <v>286</v>
      </c>
      <c r="B674" s="4" t="s">
        <v>230</v>
      </c>
      <c r="C674" s="6" t="n">
        <v>9.066</v>
      </c>
      <c r="D674" s="4" t="s">
        <v>456</v>
      </c>
      <c r="E674" s="18" t="s">
        <v>696</v>
      </c>
    </row>
    <row r="675" customFormat="false" ht="15" hidden="false" customHeight="true" outlineLevel="0" collapsed="false">
      <c r="A675" s="4" t="s">
        <v>290</v>
      </c>
      <c r="B675" s="4" t="s">
        <v>230</v>
      </c>
      <c r="C675" s="6" t="n">
        <v>3.823</v>
      </c>
      <c r="D675" s="17" t="s">
        <v>455</v>
      </c>
      <c r="E675" s="18" t="s">
        <v>291</v>
      </c>
    </row>
    <row r="676" customFormat="false" ht="15" hidden="false" customHeight="true" outlineLevel="0" collapsed="false">
      <c r="A676" s="4" t="s">
        <v>290</v>
      </c>
      <c r="B676" s="4" t="s">
        <v>230</v>
      </c>
      <c r="C676" s="6" t="n">
        <v>3.831</v>
      </c>
      <c r="D676" s="4" t="s">
        <v>460</v>
      </c>
      <c r="E676" s="18" t="s">
        <v>493</v>
      </c>
    </row>
    <row r="677" customFormat="false" ht="15" hidden="false" customHeight="true" outlineLevel="0" collapsed="false">
      <c r="A677" s="4" t="s">
        <v>290</v>
      </c>
      <c r="B677" s="4" t="s">
        <v>230</v>
      </c>
      <c r="C677" s="6" t="n">
        <v>5.755</v>
      </c>
      <c r="D677" s="4" t="s">
        <v>456</v>
      </c>
      <c r="E677" s="18" t="s">
        <v>494</v>
      </c>
    </row>
    <row r="678" customFormat="false" ht="15" hidden="false" customHeight="true" outlineLevel="0" collapsed="false">
      <c r="A678" s="4" t="s">
        <v>290</v>
      </c>
      <c r="B678" s="4" t="s">
        <v>230</v>
      </c>
      <c r="C678" s="6" t="n">
        <v>10.461</v>
      </c>
      <c r="D678" s="4" t="s">
        <v>456</v>
      </c>
      <c r="E678" s="18" t="s">
        <v>495</v>
      </c>
    </row>
    <row r="679" customFormat="false" ht="15" hidden="false" customHeight="true" outlineLevel="0" collapsed="false">
      <c r="A679" s="4" t="s">
        <v>290</v>
      </c>
      <c r="B679" s="4" t="s">
        <v>230</v>
      </c>
      <c r="C679" s="6" t="n">
        <v>19.37</v>
      </c>
      <c r="D679" s="17" t="s">
        <v>455</v>
      </c>
      <c r="E679" s="18" t="s">
        <v>481</v>
      </c>
    </row>
    <row r="680" customFormat="false" ht="15" hidden="false" customHeight="true" outlineLevel="0" collapsed="false">
      <c r="A680" s="4" t="s">
        <v>290</v>
      </c>
      <c r="B680" s="4" t="s">
        <v>230</v>
      </c>
      <c r="C680" s="6" t="n">
        <v>19.386</v>
      </c>
      <c r="D680" s="4" t="s">
        <v>460</v>
      </c>
      <c r="E680" s="18" t="s">
        <v>71</v>
      </c>
    </row>
    <row r="681" customFormat="false" ht="15" hidden="false" customHeight="true" outlineLevel="0" collapsed="false">
      <c r="A681" s="4" t="s">
        <v>290</v>
      </c>
      <c r="B681" s="4" t="s">
        <v>230</v>
      </c>
      <c r="C681" s="6" t="n">
        <v>19.429</v>
      </c>
      <c r="D681" s="4" t="s">
        <v>456</v>
      </c>
      <c r="E681" s="18" t="s">
        <v>482</v>
      </c>
    </row>
    <row r="682" customFormat="false" ht="15" hidden="false" customHeight="true" outlineLevel="0" collapsed="false">
      <c r="A682" s="4" t="s">
        <v>290</v>
      </c>
      <c r="B682" s="4" t="s">
        <v>230</v>
      </c>
      <c r="C682" s="6" t="n">
        <v>22.503</v>
      </c>
      <c r="D682" s="4" t="s">
        <v>456</v>
      </c>
      <c r="E682" s="18" t="s">
        <v>501</v>
      </c>
    </row>
    <row r="683" customFormat="false" ht="15" hidden="false" customHeight="true" outlineLevel="0" collapsed="false">
      <c r="A683" s="4" t="s">
        <v>290</v>
      </c>
      <c r="B683" s="4" t="s">
        <v>230</v>
      </c>
      <c r="C683" s="6" t="n">
        <v>32.981</v>
      </c>
      <c r="D683" s="17" t="s">
        <v>455</v>
      </c>
      <c r="E683" s="18" t="s">
        <v>697</v>
      </c>
    </row>
    <row r="684" customFormat="false" ht="15" hidden="false" customHeight="true" outlineLevel="0" collapsed="false">
      <c r="A684" s="4" t="s">
        <v>290</v>
      </c>
      <c r="B684" s="4" t="s">
        <v>230</v>
      </c>
      <c r="C684" s="6" t="n">
        <v>34.208</v>
      </c>
      <c r="D684" s="4" t="s">
        <v>460</v>
      </c>
      <c r="E684" s="18" t="s">
        <v>489</v>
      </c>
    </row>
    <row r="685" customFormat="false" ht="15" hidden="false" customHeight="true" outlineLevel="0" collapsed="false">
      <c r="A685" s="4" t="s">
        <v>290</v>
      </c>
      <c r="B685" s="4" t="s">
        <v>230</v>
      </c>
      <c r="C685" s="6" t="n">
        <v>34.23</v>
      </c>
      <c r="D685" s="4" t="s">
        <v>456</v>
      </c>
      <c r="E685" s="18" t="s">
        <v>468</v>
      </c>
    </row>
    <row r="686" customFormat="false" ht="15" hidden="false" customHeight="true" outlineLevel="0" collapsed="false">
      <c r="A686" s="4" t="s">
        <v>290</v>
      </c>
      <c r="B686" s="4" t="s">
        <v>230</v>
      </c>
      <c r="C686" s="6" t="n">
        <v>41.161</v>
      </c>
      <c r="D686" s="4" t="s">
        <v>456</v>
      </c>
      <c r="E686" s="18" t="s">
        <v>473</v>
      </c>
    </row>
    <row r="687" customFormat="false" ht="15" hidden="false" customHeight="true" outlineLevel="0" collapsed="false">
      <c r="A687" s="4" t="s">
        <v>294</v>
      </c>
      <c r="B687" s="4" t="s">
        <v>230</v>
      </c>
      <c r="C687" s="6" t="n">
        <v>6.436</v>
      </c>
      <c r="D687" s="17" t="s">
        <v>455</v>
      </c>
      <c r="E687" s="18" t="s">
        <v>278</v>
      </c>
    </row>
    <row r="688" customFormat="false" ht="15" hidden="false" customHeight="true" outlineLevel="0" collapsed="false">
      <c r="A688" s="4" t="s">
        <v>294</v>
      </c>
      <c r="B688" s="4" t="s">
        <v>230</v>
      </c>
      <c r="C688" s="6" t="n">
        <v>10.452</v>
      </c>
      <c r="D688" s="4" t="s">
        <v>456</v>
      </c>
      <c r="E688" s="18" t="s">
        <v>698</v>
      </c>
    </row>
    <row r="689" customFormat="false" ht="15" hidden="false" customHeight="true" outlineLevel="0" collapsed="false">
      <c r="A689" s="4" t="s">
        <v>294</v>
      </c>
      <c r="B689" s="4" t="s">
        <v>230</v>
      </c>
      <c r="C689" s="6" t="n">
        <v>16.149</v>
      </c>
      <c r="D689" s="4" t="s">
        <v>456</v>
      </c>
      <c r="E689" s="18" t="s">
        <v>699</v>
      </c>
    </row>
    <row r="690" customFormat="false" ht="15" hidden="false" customHeight="true" outlineLevel="0" collapsed="false">
      <c r="A690" s="4" t="s">
        <v>294</v>
      </c>
      <c r="B690" s="4" t="s">
        <v>230</v>
      </c>
      <c r="C690" s="6" t="n">
        <v>22.545</v>
      </c>
      <c r="D690" s="17" t="s">
        <v>455</v>
      </c>
      <c r="E690" s="18" t="s">
        <v>146</v>
      </c>
    </row>
    <row r="691" customFormat="false" ht="15" hidden="false" customHeight="true" outlineLevel="0" collapsed="false">
      <c r="A691" s="4" t="s">
        <v>294</v>
      </c>
      <c r="B691" s="4" t="s">
        <v>230</v>
      </c>
      <c r="C691" s="6" t="n">
        <v>22.559</v>
      </c>
      <c r="D691" s="4" t="s">
        <v>460</v>
      </c>
      <c r="E691" s="18" t="s">
        <v>549</v>
      </c>
    </row>
    <row r="692" customFormat="false" ht="15" hidden="false" customHeight="true" outlineLevel="0" collapsed="false">
      <c r="A692" s="4" t="s">
        <v>294</v>
      </c>
      <c r="B692" s="4" t="s">
        <v>230</v>
      </c>
      <c r="C692" s="6" t="n">
        <v>23.216</v>
      </c>
      <c r="D692" s="4" t="s">
        <v>456</v>
      </c>
      <c r="E692" s="18" t="s">
        <v>627</v>
      </c>
    </row>
    <row r="693" customFormat="false" ht="15" hidden="false" customHeight="true" outlineLevel="0" collapsed="false">
      <c r="A693" s="4" t="s">
        <v>294</v>
      </c>
      <c r="B693" s="4" t="s">
        <v>230</v>
      </c>
      <c r="C693" s="6" t="n">
        <v>28.465</v>
      </c>
      <c r="D693" s="4" t="s">
        <v>456</v>
      </c>
      <c r="E693" s="18" t="s">
        <v>628</v>
      </c>
    </row>
    <row r="694" customFormat="false" ht="15" hidden="false" customHeight="true" outlineLevel="0" collapsed="false">
      <c r="A694" s="4" t="s">
        <v>294</v>
      </c>
      <c r="B694" s="4" t="s">
        <v>230</v>
      </c>
      <c r="C694" s="6" t="n">
        <v>35.919</v>
      </c>
      <c r="D694" s="17" t="s">
        <v>455</v>
      </c>
      <c r="E694" s="18" t="s">
        <v>86</v>
      </c>
    </row>
    <row r="695" customFormat="false" ht="15" hidden="false" customHeight="true" outlineLevel="0" collapsed="false">
      <c r="A695" s="4" t="s">
        <v>294</v>
      </c>
      <c r="B695" s="4" t="s">
        <v>230</v>
      </c>
      <c r="C695" s="6" t="n">
        <v>35.937</v>
      </c>
      <c r="D695" s="4" t="s">
        <v>460</v>
      </c>
      <c r="E695" s="18" t="s">
        <v>57</v>
      </c>
    </row>
    <row r="696" customFormat="false" ht="15" hidden="false" customHeight="true" outlineLevel="0" collapsed="false">
      <c r="A696" s="4" t="s">
        <v>294</v>
      </c>
      <c r="B696" s="4" t="s">
        <v>230</v>
      </c>
      <c r="C696" s="6" t="n">
        <v>36.029</v>
      </c>
      <c r="D696" s="4" t="s">
        <v>456</v>
      </c>
      <c r="E696" s="18" t="s">
        <v>464</v>
      </c>
    </row>
    <row r="697" customFormat="false" ht="15" hidden="false" customHeight="true" outlineLevel="0" collapsed="false">
      <c r="A697" s="4" t="s">
        <v>294</v>
      </c>
      <c r="B697" s="4" t="s">
        <v>230</v>
      </c>
      <c r="C697" s="6" t="n">
        <v>39.766</v>
      </c>
      <c r="D697" s="17" t="s">
        <v>455</v>
      </c>
      <c r="E697" s="18" t="s">
        <v>700</v>
      </c>
    </row>
    <row r="698" customFormat="false" ht="15" hidden="false" customHeight="true" outlineLevel="0" collapsed="false">
      <c r="A698" s="4" t="s">
        <v>294</v>
      </c>
      <c r="B698" s="4" t="s">
        <v>230</v>
      </c>
      <c r="C698" s="6" t="n">
        <v>40.82</v>
      </c>
      <c r="D698" s="4" t="s">
        <v>456</v>
      </c>
      <c r="E698" s="18" t="s">
        <v>701</v>
      </c>
    </row>
    <row r="699" customFormat="false" ht="15" hidden="false" customHeight="true" outlineLevel="0" collapsed="false">
      <c r="A699" s="4" t="s">
        <v>294</v>
      </c>
      <c r="B699" s="4" t="s">
        <v>230</v>
      </c>
      <c r="C699" s="6" t="n">
        <v>48.077</v>
      </c>
      <c r="D699" s="4" t="s">
        <v>456</v>
      </c>
      <c r="E699" s="18" t="s">
        <v>631</v>
      </c>
    </row>
    <row r="700" customFormat="false" ht="15" hidden="false" customHeight="true" outlineLevel="0" collapsed="false">
      <c r="A700" s="4" t="s">
        <v>294</v>
      </c>
      <c r="B700" s="4" t="s">
        <v>230</v>
      </c>
      <c r="C700" s="6" t="n">
        <v>52.86</v>
      </c>
      <c r="D700" s="17" t="s">
        <v>455</v>
      </c>
      <c r="E700" s="18" t="s">
        <v>702</v>
      </c>
    </row>
    <row r="701" customFormat="false" ht="15" hidden="false" customHeight="true" outlineLevel="0" collapsed="false">
      <c r="A701" s="4" t="s">
        <v>294</v>
      </c>
      <c r="B701" s="4" t="s">
        <v>230</v>
      </c>
      <c r="C701" s="6" t="n">
        <v>54.226</v>
      </c>
      <c r="D701" s="4" t="s">
        <v>456</v>
      </c>
      <c r="E701" s="18" t="s">
        <v>703</v>
      </c>
    </row>
    <row r="702" customFormat="false" ht="15" hidden="false" customHeight="true" outlineLevel="0" collapsed="false">
      <c r="A702" s="4" t="s">
        <v>294</v>
      </c>
      <c r="B702" s="4" t="s">
        <v>230</v>
      </c>
      <c r="C702" s="6" t="n">
        <v>66.18</v>
      </c>
      <c r="D702" s="4" t="s">
        <v>456</v>
      </c>
      <c r="E702" s="18" t="s">
        <v>704</v>
      </c>
    </row>
    <row r="703" customFormat="false" ht="15" hidden="false" customHeight="true" outlineLevel="0" collapsed="false">
      <c r="A703" s="4" t="s">
        <v>294</v>
      </c>
      <c r="B703" s="4" t="s">
        <v>230</v>
      </c>
      <c r="C703" s="6" t="n">
        <v>69.46</v>
      </c>
      <c r="D703" s="17" t="s">
        <v>455</v>
      </c>
      <c r="E703" s="18" t="s">
        <v>705</v>
      </c>
    </row>
    <row r="704" customFormat="false" ht="15" hidden="false" customHeight="true" outlineLevel="0" collapsed="false">
      <c r="A704" s="4" t="s">
        <v>294</v>
      </c>
      <c r="B704" s="4" t="s">
        <v>230</v>
      </c>
      <c r="C704" s="6" t="n">
        <v>69.466</v>
      </c>
      <c r="D704" s="4" t="s">
        <v>460</v>
      </c>
      <c r="E704" s="18" t="s">
        <v>467</v>
      </c>
    </row>
    <row r="705" customFormat="false" ht="15" hidden="false" customHeight="true" outlineLevel="0" collapsed="false">
      <c r="A705" s="4" t="s">
        <v>294</v>
      </c>
      <c r="B705" s="4" t="s">
        <v>230</v>
      </c>
      <c r="C705" s="6" t="n">
        <v>69.523</v>
      </c>
      <c r="D705" s="4" t="s">
        <v>456</v>
      </c>
      <c r="E705" s="18" t="s">
        <v>468</v>
      </c>
    </row>
    <row r="706" customFormat="false" ht="15" hidden="false" customHeight="true" outlineLevel="0" collapsed="false">
      <c r="A706" s="4" t="s">
        <v>294</v>
      </c>
      <c r="B706" s="4" t="s">
        <v>230</v>
      </c>
      <c r="C706" s="6" t="n">
        <v>73.087</v>
      </c>
      <c r="D706" s="4" t="s">
        <v>456</v>
      </c>
      <c r="E706" s="18" t="s">
        <v>469</v>
      </c>
    </row>
    <row r="707" customFormat="false" ht="15" hidden="false" customHeight="true" outlineLevel="0" collapsed="false">
      <c r="A707" s="4" t="s">
        <v>294</v>
      </c>
      <c r="B707" s="4" t="s">
        <v>230</v>
      </c>
      <c r="C707" s="6" t="n">
        <v>74.211</v>
      </c>
      <c r="D707" s="17" t="s">
        <v>455</v>
      </c>
      <c r="E707" s="18" t="s">
        <v>487</v>
      </c>
    </row>
    <row r="708" customFormat="false" ht="15" hidden="false" customHeight="true" outlineLevel="0" collapsed="false">
      <c r="A708" s="4" t="s">
        <v>294</v>
      </c>
      <c r="B708" s="4" t="s">
        <v>230</v>
      </c>
      <c r="C708" s="6" t="n">
        <v>75.315</v>
      </c>
      <c r="D708" s="4" t="s">
        <v>456</v>
      </c>
      <c r="E708" s="18" t="s">
        <v>469</v>
      </c>
    </row>
    <row r="709" customFormat="false" ht="15" hidden="false" customHeight="true" outlineLevel="0" collapsed="false">
      <c r="A709" s="4" t="s">
        <v>294</v>
      </c>
      <c r="B709" s="4" t="s">
        <v>230</v>
      </c>
      <c r="C709" s="6" t="n">
        <v>80.293</v>
      </c>
      <c r="D709" s="17" t="s">
        <v>455</v>
      </c>
      <c r="E709" s="18" t="s">
        <v>516</v>
      </c>
    </row>
    <row r="710" customFormat="false" ht="15" hidden="false" customHeight="true" outlineLevel="0" collapsed="false">
      <c r="A710" s="4" t="s">
        <v>294</v>
      </c>
      <c r="B710" s="4" t="s">
        <v>230</v>
      </c>
      <c r="C710" s="6" t="n">
        <v>80.307</v>
      </c>
      <c r="D710" s="4" t="s">
        <v>460</v>
      </c>
      <c r="E710" s="18" t="s">
        <v>471</v>
      </c>
    </row>
    <row r="711" customFormat="false" ht="15" hidden="false" customHeight="true" outlineLevel="0" collapsed="false">
      <c r="A711" s="4" t="s">
        <v>294</v>
      </c>
      <c r="B711" s="4" t="s">
        <v>230</v>
      </c>
      <c r="C711" s="6" t="n">
        <v>80.334</v>
      </c>
      <c r="D711" s="4" t="s">
        <v>456</v>
      </c>
      <c r="E711" s="18" t="s">
        <v>472</v>
      </c>
    </row>
    <row r="712" customFormat="false" ht="15" hidden="false" customHeight="true" outlineLevel="0" collapsed="false">
      <c r="A712" s="4" t="s">
        <v>294</v>
      </c>
      <c r="B712" s="4" t="s">
        <v>230</v>
      </c>
      <c r="C712" s="6" t="n">
        <v>85.873</v>
      </c>
      <c r="D712" s="4" t="s">
        <v>456</v>
      </c>
      <c r="E712" s="18" t="s">
        <v>473</v>
      </c>
    </row>
    <row r="713" customFormat="false" ht="15" hidden="false" customHeight="true" outlineLevel="0" collapsed="false">
      <c r="A713" s="4" t="s">
        <v>294</v>
      </c>
      <c r="B713" s="4" t="s">
        <v>230</v>
      </c>
      <c r="C713" s="6" t="n">
        <v>86.714</v>
      </c>
      <c r="D713" s="17" t="s">
        <v>455</v>
      </c>
      <c r="E713" s="18" t="s">
        <v>706</v>
      </c>
    </row>
    <row r="714" customFormat="false" ht="15" hidden="false" customHeight="true" outlineLevel="0" collapsed="false">
      <c r="A714" s="4" t="s">
        <v>294</v>
      </c>
      <c r="B714" s="4" t="s">
        <v>230</v>
      </c>
      <c r="C714" s="6" t="n">
        <v>89.457</v>
      </c>
      <c r="D714" s="4" t="s">
        <v>456</v>
      </c>
      <c r="E714" s="18" t="s">
        <v>707</v>
      </c>
    </row>
    <row r="715" customFormat="false" ht="15" hidden="false" customHeight="true" outlineLevel="0" collapsed="false">
      <c r="A715" s="4" t="s">
        <v>294</v>
      </c>
      <c r="B715" s="4" t="s">
        <v>230</v>
      </c>
      <c r="C715" s="6" t="n">
        <v>96.77</v>
      </c>
      <c r="D715" s="4" t="s">
        <v>456</v>
      </c>
      <c r="E715" s="18" t="s">
        <v>708</v>
      </c>
    </row>
    <row r="716" customFormat="false" ht="15" hidden="false" customHeight="true" outlineLevel="0" collapsed="false">
      <c r="A716" s="4" t="s">
        <v>294</v>
      </c>
      <c r="B716" s="4" t="s">
        <v>230</v>
      </c>
      <c r="C716" s="6" t="n">
        <v>103.662</v>
      </c>
      <c r="D716" s="4" t="s">
        <v>456</v>
      </c>
      <c r="E716" s="18" t="s">
        <v>709</v>
      </c>
    </row>
    <row r="717" customFormat="false" ht="15" hidden="false" customHeight="true" outlineLevel="0" collapsed="false">
      <c r="A717" s="4" t="s">
        <v>294</v>
      </c>
      <c r="B717" s="4" t="s">
        <v>230</v>
      </c>
      <c r="C717" s="6" t="n">
        <v>107.616</v>
      </c>
      <c r="D717" s="4" t="s">
        <v>456</v>
      </c>
      <c r="E717" s="18" t="s">
        <v>710</v>
      </c>
    </row>
    <row r="718" customFormat="false" ht="15" hidden="false" customHeight="true" outlineLevel="0" collapsed="false">
      <c r="A718" s="4" t="s">
        <v>297</v>
      </c>
      <c r="B718" s="4" t="s">
        <v>230</v>
      </c>
      <c r="C718" s="6" t="n">
        <v>4.468</v>
      </c>
      <c r="D718" s="17" t="s">
        <v>455</v>
      </c>
      <c r="E718" s="18" t="s">
        <v>298</v>
      </c>
    </row>
    <row r="719" customFormat="false" ht="15" hidden="false" customHeight="true" outlineLevel="0" collapsed="false">
      <c r="A719" s="4" t="s">
        <v>297</v>
      </c>
      <c r="B719" s="4" t="s">
        <v>230</v>
      </c>
      <c r="C719" s="6" t="n">
        <v>4.471</v>
      </c>
      <c r="D719" s="4" t="s">
        <v>460</v>
      </c>
      <c r="E719" s="18" t="s">
        <v>474</v>
      </c>
    </row>
    <row r="720" customFormat="false" ht="15" hidden="false" customHeight="true" outlineLevel="0" collapsed="false">
      <c r="A720" s="4" t="s">
        <v>297</v>
      </c>
      <c r="B720" s="4" t="s">
        <v>230</v>
      </c>
      <c r="C720" s="6" t="n">
        <v>4.498</v>
      </c>
      <c r="D720" s="4" t="s">
        <v>456</v>
      </c>
      <c r="E720" s="18" t="s">
        <v>475</v>
      </c>
    </row>
    <row r="721" customFormat="false" ht="15" hidden="false" customHeight="true" outlineLevel="0" collapsed="false">
      <c r="A721" s="4" t="s">
        <v>297</v>
      </c>
      <c r="B721" s="4" t="s">
        <v>230</v>
      </c>
      <c r="C721" s="6" t="n">
        <v>15.464</v>
      </c>
      <c r="D721" s="17" t="s">
        <v>455</v>
      </c>
      <c r="E721" s="18" t="s">
        <v>711</v>
      </c>
    </row>
    <row r="722" customFormat="false" ht="15" hidden="false" customHeight="true" outlineLevel="0" collapsed="false">
      <c r="A722" s="4" t="s">
        <v>297</v>
      </c>
      <c r="B722" s="4" t="s">
        <v>230</v>
      </c>
      <c r="C722" s="6" t="n">
        <v>16.265</v>
      </c>
      <c r="D722" s="4" t="s">
        <v>456</v>
      </c>
      <c r="E722" s="18" t="s">
        <v>518</v>
      </c>
    </row>
    <row r="723" customFormat="false" ht="15" hidden="false" customHeight="true" outlineLevel="0" collapsed="false">
      <c r="A723" s="4" t="s">
        <v>297</v>
      </c>
      <c r="B723" s="4" t="s">
        <v>230</v>
      </c>
      <c r="C723" s="6" t="n">
        <v>21.569</v>
      </c>
      <c r="D723" s="17" t="s">
        <v>455</v>
      </c>
      <c r="E723" s="18" t="s">
        <v>712</v>
      </c>
    </row>
    <row r="724" customFormat="false" ht="15" hidden="false" customHeight="true" outlineLevel="0" collapsed="false">
      <c r="A724" s="4" t="s">
        <v>297</v>
      </c>
      <c r="B724" s="4" t="s">
        <v>230</v>
      </c>
      <c r="C724" s="6" t="n">
        <v>23.516</v>
      </c>
      <c r="D724" s="4" t="s">
        <v>460</v>
      </c>
      <c r="E724" s="18" t="s">
        <v>477</v>
      </c>
    </row>
    <row r="725" customFormat="false" ht="15" hidden="false" customHeight="true" outlineLevel="0" collapsed="false">
      <c r="A725" s="4" t="s">
        <v>297</v>
      </c>
      <c r="B725" s="4" t="s">
        <v>230</v>
      </c>
      <c r="C725" s="6" t="n">
        <v>23.549</v>
      </c>
      <c r="D725" s="4" t="s">
        <v>456</v>
      </c>
      <c r="E725" s="18" t="s">
        <v>713</v>
      </c>
    </row>
    <row r="726" customFormat="false" ht="15" hidden="false" customHeight="true" outlineLevel="0" collapsed="false">
      <c r="A726" s="4" t="s">
        <v>297</v>
      </c>
      <c r="B726" s="4" t="s">
        <v>230</v>
      </c>
      <c r="C726" s="6" t="n">
        <v>26.668</v>
      </c>
      <c r="D726" s="4" t="s">
        <v>456</v>
      </c>
      <c r="E726" s="18" t="s">
        <v>479</v>
      </c>
    </row>
    <row r="727" customFormat="false" ht="15" hidden="false" customHeight="true" outlineLevel="0" collapsed="false">
      <c r="A727" s="4" t="s">
        <v>297</v>
      </c>
      <c r="B727" s="4" t="s">
        <v>230</v>
      </c>
      <c r="C727" s="6" t="n">
        <v>29.746</v>
      </c>
      <c r="D727" s="4" t="s">
        <v>456</v>
      </c>
      <c r="E727" s="18" t="s">
        <v>480</v>
      </c>
    </row>
    <row r="728" customFormat="false" ht="15" hidden="false" customHeight="true" outlineLevel="0" collapsed="false">
      <c r="A728" s="4" t="s">
        <v>297</v>
      </c>
      <c r="B728" s="4" t="s">
        <v>230</v>
      </c>
      <c r="C728" s="6" t="n">
        <v>40.513</v>
      </c>
      <c r="D728" s="17" t="s">
        <v>455</v>
      </c>
      <c r="E728" s="18" t="s">
        <v>714</v>
      </c>
    </row>
    <row r="729" customFormat="false" ht="15" hidden="false" customHeight="true" outlineLevel="0" collapsed="false">
      <c r="A729" s="4" t="s">
        <v>297</v>
      </c>
      <c r="B729" s="4" t="s">
        <v>230</v>
      </c>
      <c r="C729" s="6" t="n">
        <v>41.583</v>
      </c>
      <c r="D729" s="4" t="s">
        <v>460</v>
      </c>
      <c r="E729" s="18" t="s">
        <v>715</v>
      </c>
    </row>
    <row r="730" customFormat="false" ht="15" hidden="false" customHeight="true" outlineLevel="0" collapsed="false">
      <c r="A730" s="4" t="s">
        <v>297</v>
      </c>
      <c r="B730" s="4" t="s">
        <v>230</v>
      </c>
      <c r="C730" s="6" t="n">
        <v>41.612</v>
      </c>
      <c r="D730" s="4" t="s">
        <v>456</v>
      </c>
      <c r="E730" s="18" t="s">
        <v>464</v>
      </c>
    </row>
    <row r="731" customFormat="false" ht="15" hidden="false" customHeight="true" outlineLevel="0" collapsed="false">
      <c r="A731" s="4" t="s">
        <v>297</v>
      </c>
      <c r="B731" s="4" t="s">
        <v>230</v>
      </c>
      <c r="C731" s="6" t="n">
        <v>50.867</v>
      </c>
      <c r="D731" s="4" t="s">
        <v>456</v>
      </c>
      <c r="E731" s="18" t="s">
        <v>468</v>
      </c>
    </row>
    <row r="732" customFormat="false" ht="15" hidden="false" customHeight="true" outlineLevel="0" collapsed="false">
      <c r="A732" s="4" t="s">
        <v>297</v>
      </c>
      <c r="B732" s="4" t="s">
        <v>230</v>
      </c>
      <c r="C732" s="6" t="n">
        <v>58.915</v>
      </c>
      <c r="D732" s="4" t="s">
        <v>456</v>
      </c>
      <c r="E732" s="18" t="s">
        <v>473</v>
      </c>
    </row>
    <row r="733" customFormat="false" ht="15" hidden="false" customHeight="true" outlineLevel="0" collapsed="false">
      <c r="A733" s="4" t="s">
        <v>301</v>
      </c>
      <c r="B733" s="4" t="s">
        <v>230</v>
      </c>
      <c r="C733" s="6" t="n">
        <v>6.553</v>
      </c>
      <c r="D733" s="17" t="s">
        <v>455</v>
      </c>
      <c r="E733" s="18" t="s">
        <v>302</v>
      </c>
    </row>
    <row r="734" customFormat="false" ht="15" hidden="false" customHeight="true" outlineLevel="0" collapsed="false">
      <c r="A734" s="4" t="s">
        <v>301</v>
      </c>
      <c r="B734" s="4" t="s">
        <v>230</v>
      </c>
      <c r="C734" s="6" t="n">
        <v>7.594</v>
      </c>
      <c r="D734" s="4" t="s">
        <v>460</v>
      </c>
      <c r="E734" s="18" t="s">
        <v>474</v>
      </c>
    </row>
    <row r="735" customFormat="false" ht="15" hidden="false" customHeight="true" outlineLevel="0" collapsed="false">
      <c r="A735" s="4" t="s">
        <v>301</v>
      </c>
      <c r="B735" s="4" t="s">
        <v>230</v>
      </c>
      <c r="C735" s="6" t="n">
        <v>7.64</v>
      </c>
      <c r="D735" s="4" t="s">
        <v>456</v>
      </c>
      <c r="E735" s="18" t="s">
        <v>475</v>
      </c>
    </row>
    <row r="736" customFormat="false" ht="15" hidden="false" customHeight="true" outlineLevel="0" collapsed="false">
      <c r="A736" s="4" t="s">
        <v>301</v>
      </c>
      <c r="B736" s="4" t="s">
        <v>230</v>
      </c>
      <c r="C736" s="6" t="n">
        <v>27.07</v>
      </c>
      <c r="D736" s="4" t="s">
        <v>456</v>
      </c>
      <c r="E736" s="18" t="s">
        <v>538</v>
      </c>
    </row>
    <row r="737" customFormat="false" ht="15" hidden="false" customHeight="true" outlineLevel="0" collapsed="false">
      <c r="A737" s="4" t="s">
        <v>301</v>
      </c>
      <c r="B737" s="4" t="s">
        <v>230</v>
      </c>
      <c r="C737" s="6" t="n">
        <v>34.599</v>
      </c>
      <c r="D737" s="17" t="s">
        <v>455</v>
      </c>
      <c r="E737" s="18" t="s">
        <v>716</v>
      </c>
    </row>
    <row r="738" customFormat="false" ht="15" hidden="false" customHeight="true" outlineLevel="0" collapsed="false">
      <c r="A738" s="4" t="s">
        <v>301</v>
      </c>
      <c r="B738" s="4" t="s">
        <v>230</v>
      </c>
      <c r="C738" s="6" t="n">
        <v>35.78</v>
      </c>
      <c r="D738" s="4" t="s">
        <v>456</v>
      </c>
      <c r="E738" s="18" t="s">
        <v>717</v>
      </c>
    </row>
    <row r="739" customFormat="false" ht="15" hidden="false" customHeight="true" outlineLevel="0" collapsed="false">
      <c r="A739" s="4" t="s">
        <v>301</v>
      </c>
      <c r="B739" s="4" t="s">
        <v>230</v>
      </c>
      <c r="C739" s="6" t="n">
        <v>39.427</v>
      </c>
      <c r="D739" s="17" t="s">
        <v>455</v>
      </c>
      <c r="E739" s="18" t="s">
        <v>718</v>
      </c>
    </row>
    <row r="740" customFormat="false" ht="15" hidden="false" customHeight="true" outlineLevel="0" collapsed="false">
      <c r="A740" s="4" t="s">
        <v>301</v>
      </c>
      <c r="B740" s="4" t="s">
        <v>230</v>
      </c>
      <c r="C740" s="6" t="n">
        <v>40.543</v>
      </c>
      <c r="D740" s="4" t="s">
        <v>456</v>
      </c>
      <c r="E740" s="18" t="s">
        <v>719</v>
      </c>
    </row>
    <row r="741" customFormat="false" ht="15" hidden="false" customHeight="true" outlineLevel="0" collapsed="false">
      <c r="A741" s="4" t="s">
        <v>301</v>
      </c>
      <c r="B741" s="4" t="s">
        <v>230</v>
      </c>
      <c r="C741" s="6" t="n">
        <v>44.108</v>
      </c>
      <c r="D741" s="4" t="s">
        <v>456</v>
      </c>
      <c r="E741" s="18" t="s">
        <v>645</v>
      </c>
    </row>
    <row r="742" customFormat="false" ht="15" hidden="false" customHeight="true" outlineLevel="0" collapsed="false">
      <c r="A742" s="4" t="s">
        <v>301</v>
      </c>
      <c r="B742" s="4" t="s">
        <v>230</v>
      </c>
      <c r="C742" s="6" t="n">
        <v>47.976</v>
      </c>
      <c r="D742" s="17" t="s">
        <v>455</v>
      </c>
      <c r="E742" s="18" t="s">
        <v>720</v>
      </c>
    </row>
    <row r="743" customFormat="false" ht="15" hidden="false" customHeight="true" outlineLevel="0" collapsed="false">
      <c r="A743" s="4" t="s">
        <v>301</v>
      </c>
      <c r="B743" s="4" t="s">
        <v>230</v>
      </c>
      <c r="C743" s="6" t="n">
        <v>47.981</v>
      </c>
      <c r="D743" s="4" t="s">
        <v>460</v>
      </c>
      <c r="E743" s="18" t="s">
        <v>549</v>
      </c>
    </row>
    <row r="744" customFormat="false" ht="15" hidden="false" customHeight="true" outlineLevel="0" collapsed="false">
      <c r="A744" s="4" t="s">
        <v>301</v>
      </c>
      <c r="B744" s="4" t="s">
        <v>230</v>
      </c>
      <c r="C744" s="6" t="n">
        <v>48.689</v>
      </c>
      <c r="D744" s="4" t="s">
        <v>456</v>
      </c>
      <c r="E744" s="18" t="s">
        <v>479</v>
      </c>
    </row>
    <row r="745" customFormat="false" ht="15" hidden="false" customHeight="true" outlineLevel="0" collapsed="false">
      <c r="A745" s="4" t="s">
        <v>301</v>
      </c>
      <c r="B745" s="4" t="s">
        <v>230</v>
      </c>
      <c r="C745" s="6" t="n">
        <v>55.012</v>
      </c>
      <c r="D745" s="4" t="s">
        <v>456</v>
      </c>
      <c r="E745" s="18" t="s">
        <v>480</v>
      </c>
    </row>
    <row r="746" customFormat="false" ht="15" hidden="false" customHeight="true" outlineLevel="0" collapsed="false">
      <c r="A746" s="4" t="s">
        <v>301</v>
      </c>
      <c r="B746" s="4" t="s">
        <v>230</v>
      </c>
      <c r="C746" s="6" t="n">
        <v>62.534</v>
      </c>
      <c r="D746" s="17" t="s">
        <v>455</v>
      </c>
      <c r="E746" s="18" t="s">
        <v>86</v>
      </c>
    </row>
    <row r="747" customFormat="false" ht="15" hidden="false" customHeight="true" outlineLevel="0" collapsed="false">
      <c r="A747" s="4" t="s">
        <v>301</v>
      </c>
      <c r="B747" s="4" t="s">
        <v>230</v>
      </c>
      <c r="C747" s="6" t="n">
        <v>62.538</v>
      </c>
      <c r="D747" s="4" t="s">
        <v>460</v>
      </c>
      <c r="E747" s="18" t="s">
        <v>57</v>
      </c>
    </row>
    <row r="748" customFormat="false" ht="15" hidden="false" customHeight="true" outlineLevel="0" collapsed="false">
      <c r="A748" s="4" t="s">
        <v>301</v>
      </c>
      <c r="B748" s="4" t="s">
        <v>230</v>
      </c>
      <c r="C748" s="6" t="n">
        <v>62.563</v>
      </c>
      <c r="D748" s="4" t="s">
        <v>456</v>
      </c>
      <c r="E748" s="18" t="s">
        <v>464</v>
      </c>
    </row>
    <row r="749" customFormat="false" ht="15" hidden="false" customHeight="true" outlineLevel="0" collapsed="false">
      <c r="A749" s="4" t="s">
        <v>301</v>
      </c>
      <c r="B749" s="4" t="s">
        <v>230</v>
      </c>
      <c r="C749" s="6" t="n">
        <v>68.252</v>
      </c>
      <c r="D749" s="4" t="s">
        <v>456</v>
      </c>
      <c r="E749" s="18" t="s">
        <v>485</v>
      </c>
    </row>
    <row r="750" customFormat="false" ht="15" hidden="false" customHeight="true" outlineLevel="0" collapsed="false">
      <c r="A750" s="4" t="s">
        <v>301</v>
      </c>
      <c r="B750" s="4" t="s">
        <v>230</v>
      </c>
      <c r="C750" s="6" t="n">
        <v>78.099</v>
      </c>
      <c r="D750" s="17" t="s">
        <v>455</v>
      </c>
      <c r="E750" s="18" t="s">
        <v>721</v>
      </c>
    </row>
    <row r="751" customFormat="false" ht="15" hidden="false" customHeight="true" outlineLevel="0" collapsed="false">
      <c r="A751" s="4" t="s">
        <v>301</v>
      </c>
      <c r="B751" s="4" t="s">
        <v>230</v>
      </c>
      <c r="C751" s="6" t="n">
        <v>79.089</v>
      </c>
      <c r="D751" s="4" t="s">
        <v>460</v>
      </c>
      <c r="E751" s="18" t="s">
        <v>489</v>
      </c>
    </row>
    <row r="752" customFormat="false" ht="15" hidden="false" customHeight="true" outlineLevel="0" collapsed="false">
      <c r="A752" s="4" t="s">
        <v>301</v>
      </c>
      <c r="B752" s="4" t="s">
        <v>230</v>
      </c>
      <c r="C752" s="6" t="n">
        <v>79.187</v>
      </c>
      <c r="D752" s="4" t="s">
        <v>456</v>
      </c>
      <c r="E752" s="18" t="s">
        <v>468</v>
      </c>
    </row>
    <row r="753" customFormat="false" ht="15" hidden="false" customHeight="true" outlineLevel="0" collapsed="false">
      <c r="A753" s="4" t="s">
        <v>301</v>
      </c>
      <c r="B753" s="4" t="s">
        <v>230</v>
      </c>
      <c r="C753" s="6" t="n">
        <v>87.238</v>
      </c>
      <c r="D753" s="4" t="s">
        <v>456</v>
      </c>
      <c r="E753" s="18" t="s">
        <v>473</v>
      </c>
    </row>
    <row r="754" customFormat="false" ht="15" hidden="false" customHeight="true" outlineLevel="0" collapsed="false">
      <c r="A754" s="4" t="s">
        <v>451</v>
      </c>
      <c r="B754" s="4" t="s">
        <v>230</v>
      </c>
      <c r="C754" s="6" t="n">
        <v>6.409</v>
      </c>
      <c r="D754" s="4" t="s">
        <v>456</v>
      </c>
      <c r="E754" s="18" t="s">
        <v>699</v>
      </c>
    </row>
    <row r="755" customFormat="false" ht="15" hidden="false" customHeight="true" outlineLevel="0" collapsed="false">
      <c r="A755" s="4" t="s">
        <v>451</v>
      </c>
      <c r="B755" s="4" t="s">
        <v>230</v>
      </c>
      <c r="C755" s="6" t="n">
        <v>12.988</v>
      </c>
      <c r="D755" s="17" t="s">
        <v>455</v>
      </c>
      <c r="E755" s="18" t="s">
        <v>722</v>
      </c>
    </row>
    <row r="756" customFormat="false" ht="15" hidden="false" customHeight="true" outlineLevel="0" collapsed="false">
      <c r="A756" s="4" t="s">
        <v>451</v>
      </c>
      <c r="B756" s="4" t="s">
        <v>230</v>
      </c>
      <c r="C756" s="6" t="n">
        <v>12.994</v>
      </c>
      <c r="D756" s="4" t="s">
        <v>460</v>
      </c>
      <c r="E756" s="18" t="s">
        <v>549</v>
      </c>
    </row>
    <row r="757" customFormat="false" ht="15" hidden="false" customHeight="true" outlineLevel="0" collapsed="false">
      <c r="A757" s="4" t="s">
        <v>451</v>
      </c>
      <c r="B757" s="4" t="s">
        <v>230</v>
      </c>
      <c r="C757" s="6" t="n">
        <v>13.681</v>
      </c>
      <c r="D757" s="4" t="s">
        <v>456</v>
      </c>
      <c r="E757" s="18" t="s">
        <v>627</v>
      </c>
    </row>
    <row r="758" customFormat="false" ht="15" hidden="false" customHeight="true" outlineLevel="0" collapsed="false">
      <c r="A758" s="4" t="s">
        <v>451</v>
      </c>
      <c r="B758" s="4" t="s">
        <v>230</v>
      </c>
      <c r="C758" s="6" t="n">
        <v>18.369</v>
      </c>
      <c r="D758" s="4" t="s">
        <v>456</v>
      </c>
      <c r="E758" s="18" t="s">
        <v>628</v>
      </c>
    </row>
    <row r="759" customFormat="false" ht="15" hidden="false" customHeight="true" outlineLevel="0" collapsed="false">
      <c r="A759" s="4" t="s">
        <v>451</v>
      </c>
      <c r="B759" s="4" t="s">
        <v>230</v>
      </c>
      <c r="C759" s="6" t="n">
        <v>26.236</v>
      </c>
      <c r="D759" s="17" t="s">
        <v>455</v>
      </c>
      <c r="E759" s="18" t="s">
        <v>86</v>
      </c>
    </row>
    <row r="760" customFormat="false" ht="15" hidden="false" customHeight="true" outlineLevel="0" collapsed="false">
      <c r="A760" s="4" t="s">
        <v>451</v>
      </c>
      <c r="B760" s="4" t="s">
        <v>230</v>
      </c>
      <c r="C760" s="6" t="n">
        <v>26.24</v>
      </c>
      <c r="D760" s="4" t="s">
        <v>460</v>
      </c>
      <c r="E760" s="18" t="s">
        <v>57</v>
      </c>
    </row>
    <row r="761" customFormat="false" ht="15" hidden="false" customHeight="true" outlineLevel="0" collapsed="false">
      <c r="A761" s="4" t="s">
        <v>451</v>
      </c>
      <c r="B761" s="4" t="s">
        <v>230</v>
      </c>
      <c r="C761" s="6" t="n">
        <v>26.28</v>
      </c>
      <c r="D761" s="4" t="s">
        <v>456</v>
      </c>
      <c r="E761" s="18" t="s">
        <v>464</v>
      </c>
    </row>
    <row r="762" customFormat="false" ht="15" hidden="false" customHeight="true" outlineLevel="0" collapsed="false">
      <c r="A762" s="4" t="s">
        <v>451</v>
      </c>
      <c r="B762" s="4" t="s">
        <v>230</v>
      </c>
      <c r="C762" s="6" t="n">
        <v>32.54</v>
      </c>
      <c r="D762" s="4" t="s">
        <v>456</v>
      </c>
      <c r="E762" s="18" t="s">
        <v>631</v>
      </c>
    </row>
    <row r="763" customFormat="false" ht="15" hidden="false" customHeight="true" outlineLevel="0" collapsed="false">
      <c r="A763" s="4" t="s">
        <v>451</v>
      </c>
      <c r="B763" s="4" t="s">
        <v>230</v>
      </c>
      <c r="C763" s="6" t="n">
        <v>35.66</v>
      </c>
      <c r="D763" s="17" t="s">
        <v>455</v>
      </c>
      <c r="E763" s="18" t="s">
        <v>499</v>
      </c>
    </row>
    <row r="764" customFormat="false" ht="15" hidden="false" customHeight="true" outlineLevel="0" collapsed="false">
      <c r="A764" s="4" t="s">
        <v>451</v>
      </c>
      <c r="B764" s="4" t="s">
        <v>230</v>
      </c>
      <c r="C764" s="6" t="n">
        <v>35.67</v>
      </c>
      <c r="D764" s="4" t="s">
        <v>460</v>
      </c>
      <c r="E764" s="18" t="s">
        <v>467</v>
      </c>
    </row>
    <row r="765" customFormat="false" ht="15" hidden="false" customHeight="true" outlineLevel="0" collapsed="false">
      <c r="A765" s="4" t="s">
        <v>451</v>
      </c>
      <c r="B765" s="4" t="s">
        <v>230</v>
      </c>
      <c r="C765" s="6" t="n">
        <v>38.518</v>
      </c>
      <c r="D765" s="4" t="s">
        <v>456</v>
      </c>
      <c r="E765" s="18" t="s">
        <v>468</v>
      </c>
    </row>
    <row r="766" customFormat="false" ht="15" hidden="false" customHeight="true" outlineLevel="0" collapsed="false">
      <c r="A766" s="4" t="s">
        <v>451</v>
      </c>
      <c r="B766" s="4" t="s">
        <v>230</v>
      </c>
      <c r="C766" s="6" t="n">
        <v>39.746</v>
      </c>
      <c r="D766" s="17" t="s">
        <v>455</v>
      </c>
      <c r="E766" s="18" t="s">
        <v>487</v>
      </c>
    </row>
    <row r="767" customFormat="false" ht="15" hidden="false" customHeight="true" outlineLevel="0" collapsed="false">
      <c r="A767" s="4" t="s">
        <v>451</v>
      </c>
      <c r="B767" s="4" t="s">
        <v>230</v>
      </c>
      <c r="C767" s="6" t="n">
        <v>40.705</v>
      </c>
      <c r="D767" s="4" t="s">
        <v>456</v>
      </c>
      <c r="E767" s="18" t="s">
        <v>469</v>
      </c>
    </row>
    <row r="768" customFormat="false" ht="15" hidden="false" customHeight="true" outlineLevel="0" collapsed="false">
      <c r="A768" s="4" t="s">
        <v>451</v>
      </c>
      <c r="B768" s="4" t="s">
        <v>230</v>
      </c>
      <c r="C768" s="6" t="n">
        <v>43.278</v>
      </c>
      <c r="D768" s="4" t="s">
        <v>456</v>
      </c>
      <c r="E768" s="18" t="s">
        <v>469</v>
      </c>
    </row>
    <row r="769" customFormat="false" ht="15" hidden="false" customHeight="true" outlineLevel="0" collapsed="false">
      <c r="A769" s="4" t="s">
        <v>451</v>
      </c>
      <c r="B769" s="4" t="s">
        <v>230</v>
      </c>
      <c r="C769" s="6" t="n">
        <v>47.808</v>
      </c>
      <c r="D769" s="17" t="s">
        <v>455</v>
      </c>
      <c r="E769" s="18" t="s">
        <v>516</v>
      </c>
    </row>
    <row r="770" customFormat="false" ht="15" hidden="false" customHeight="true" outlineLevel="0" collapsed="false">
      <c r="A770" s="4" t="s">
        <v>451</v>
      </c>
      <c r="B770" s="4" t="s">
        <v>230</v>
      </c>
      <c r="C770" s="6" t="n">
        <v>47.822</v>
      </c>
      <c r="D770" s="4" t="s">
        <v>460</v>
      </c>
      <c r="E770" s="18" t="s">
        <v>471</v>
      </c>
    </row>
    <row r="771" customFormat="false" ht="15" hidden="false" customHeight="true" outlineLevel="0" collapsed="false">
      <c r="A771" s="4" t="s">
        <v>451</v>
      </c>
      <c r="B771" s="4" t="s">
        <v>230</v>
      </c>
      <c r="C771" s="6" t="n">
        <v>47.833</v>
      </c>
      <c r="D771" s="4" t="s">
        <v>456</v>
      </c>
      <c r="E771" s="18" t="s">
        <v>472</v>
      </c>
    </row>
    <row r="772" customFormat="false" ht="15" hidden="false" customHeight="true" outlineLevel="0" collapsed="false">
      <c r="A772" s="4" t="s">
        <v>451</v>
      </c>
      <c r="B772" s="4" t="s">
        <v>230</v>
      </c>
      <c r="C772" s="6" t="n">
        <v>53.563</v>
      </c>
      <c r="D772" s="4" t="s">
        <v>456</v>
      </c>
      <c r="E772" s="18" t="s">
        <v>473</v>
      </c>
    </row>
    <row r="773" customFormat="false" ht="15" hidden="false" customHeight="true" outlineLevel="0" collapsed="false">
      <c r="A773" s="4" t="s">
        <v>451</v>
      </c>
      <c r="B773" s="4" t="s">
        <v>230</v>
      </c>
      <c r="C773" s="6" t="n">
        <v>53.739</v>
      </c>
      <c r="D773" s="17" t="s">
        <v>455</v>
      </c>
      <c r="E773" s="18" t="s">
        <v>510</v>
      </c>
    </row>
    <row r="774" customFormat="false" ht="15" hidden="false" customHeight="true" outlineLevel="0" collapsed="false">
      <c r="A774" s="4" t="s">
        <v>451</v>
      </c>
      <c r="B774" s="4" t="s">
        <v>230</v>
      </c>
      <c r="C774" s="6" t="n">
        <v>57.118</v>
      </c>
      <c r="D774" s="4" t="s">
        <v>456</v>
      </c>
      <c r="E774" s="18" t="s">
        <v>723</v>
      </c>
    </row>
    <row r="775" customFormat="false" ht="15" hidden="false" customHeight="true" outlineLevel="0" collapsed="false">
      <c r="A775" s="4" t="s">
        <v>451</v>
      </c>
      <c r="B775" s="4" t="s">
        <v>230</v>
      </c>
      <c r="C775" s="6" t="n">
        <v>60.578</v>
      </c>
      <c r="D775" s="17" t="s">
        <v>455</v>
      </c>
      <c r="E775" s="18" t="s">
        <v>724</v>
      </c>
    </row>
    <row r="776" customFormat="false" ht="15" hidden="false" customHeight="true" outlineLevel="0" collapsed="false">
      <c r="A776" s="4" t="s">
        <v>307</v>
      </c>
      <c r="B776" s="4" t="s">
        <v>230</v>
      </c>
      <c r="C776" s="6" t="n">
        <v>5.982</v>
      </c>
      <c r="D776" s="17" t="s">
        <v>455</v>
      </c>
      <c r="E776" s="18" t="s">
        <v>308</v>
      </c>
    </row>
    <row r="777" customFormat="false" ht="15" hidden="false" customHeight="true" outlineLevel="0" collapsed="false">
      <c r="A777" s="4" t="s">
        <v>307</v>
      </c>
      <c r="B777" s="4" t="s">
        <v>230</v>
      </c>
      <c r="C777" s="6" t="n">
        <v>6.89</v>
      </c>
      <c r="D777" s="4" t="s">
        <v>460</v>
      </c>
      <c r="E777" s="18" t="s">
        <v>552</v>
      </c>
    </row>
    <row r="778" customFormat="false" ht="15" hidden="false" customHeight="true" outlineLevel="0" collapsed="false">
      <c r="A778" s="4" t="s">
        <v>307</v>
      </c>
      <c r="B778" s="4" t="s">
        <v>230</v>
      </c>
      <c r="C778" s="6" t="n">
        <v>6.925</v>
      </c>
      <c r="D778" s="4" t="s">
        <v>460</v>
      </c>
      <c r="E778" s="18" t="s">
        <v>57</v>
      </c>
    </row>
    <row r="779" customFormat="false" ht="15" hidden="false" customHeight="true" outlineLevel="0" collapsed="false">
      <c r="A779" s="4" t="s">
        <v>307</v>
      </c>
      <c r="B779" s="4" t="s">
        <v>230</v>
      </c>
      <c r="C779" s="6" t="n">
        <v>7.859</v>
      </c>
      <c r="D779" s="4" t="s">
        <v>456</v>
      </c>
      <c r="E779" s="18" t="s">
        <v>725</v>
      </c>
    </row>
    <row r="780" customFormat="false" ht="15" hidden="false" customHeight="true" outlineLevel="0" collapsed="false">
      <c r="A780" s="4" t="s">
        <v>307</v>
      </c>
      <c r="B780" s="4" t="s">
        <v>230</v>
      </c>
      <c r="C780" s="6" t="n">
        <v>26.336</v>
      </c>
      <c r="D780" s="17" t="s">
        <v>455</v>
      </c>
      <c r="E780" s="18" t="s">
        <v>586</v>
      </c>
    </row>
    <row r="781" customFormat="false" ht="15" hidden="false" customHeight="true" outlineLevel="0" collapsed="false">
      <c r="A781" s="4" t="s">
        <v>307</v>
      </c>
      <c r="B781" s="4" t="s">
        <v>230</v>
      </c>
      <c r="C781" s="6" t="n">
        <v>26.34</v>
      </c>
      <c r="D781" s="4" t="s">
        <v>460</v>
      </c>
      <c r="E781" s="18" t="s">
        <v>471</v>
      </c>
    </row>
    <row r="782" customFormat="false" ht="15" hidden="false" customHeight="true" outlineLevel="0" collapsed="false">
      <c r="A782" s="4" t="s">
        <v>307</v>
      </c>
      <c r="B782" s="4" t="s">
        <v>230</v>
      </c>
      <c r="C782" s="6" t="n">
        <v>26.365</v>
      </c>
      <c r="D782" s="4" t="s">
        <v>456</v>
      </c>
      <c r="E782" s="18" t="s">
        <v>472</v>
      </c>
    </row>
    <row r="783" customFormat="false" ht="15" hidden="false" customHeight="true" outlineLevel="0" collapsed="false">
      <c r="A783" s="4" t="s">
        <v>310</v>
      </c>
      <c r="B783" s="4" t="s">
        <v>230</v>
      </c>
      <c r="C783" s="6" t="n">
        <v>5.676</v>
      </c>
      <c r="D783" s="17" t="s">
        <v>455</v>
      </c>
      <c r="E783" s="18" t="s">
        <v>311</v>
      </c>
    </row>
    <row r="784" customFormat="false" ht="15" hidden="false" customHeight="true" outlineLevel="0" collapsed="false">
      <c r="A784" s="4" t="s">
        <v>310</v>
      </c>
      <c r="B784" s="4" t="s">
        <v>230</v>
      </c>
      <c r="C784" s="6" t="n">
        <v>6.573</v>
      </c>
      <c r="D784" s="4" t="s">
        <v>456</v>
      </c>
      <c r="E784" s="18" t="s">
        <v>726</v>
      </c>
    </row>
    <row r="785" customFormat="false" ht="15" hidden="false" customHeight="true" outlineLevel="0" collapsed="false">
      <c r="A785" s="4" t="s">
        <v>310</v>
      </c>
      <c r="B785" s="4" t="s">
        <v>230</v>
      </c>
      <c r="C785" s="6" t="n">
        <v>14.386</v>
      </c>
      <c r="D785" s="17" t="s">
        <v>455</v>
      </c>
      <c r="E785" s="18" t="s">
        <v>727</v>
      </c>
    </row>
    <row r="786" customFormat="false" ht="15" hidden="false" customHeight="true" outlineLevel="0" collapsed="false">
      <c r="A786" s="4" t="s">
        <v>310</v>
      </c>
      <c r="B786" s="4" t="s">
        <v>230</v>
      </c>
      <c r="C786" s="6" t="n">
        <v>15.114</v>
      </c>
      <c r="D786" s="4" t="s">
        <v>456</v>
      </c>
      <c r="E786" s="18" t="s">
        <v>579</v>
      </c>
    </row>
    <row r="787" customFormat="false" ht="15" hidden="false" customHeight="true" outlineLevel="0" collapsed="false">
      <c r="A787" s="4" t="s">
        <v>310</v>
      </c>
      <c r="B787" s="4" t="s">
        <v>230</v>
      </c>
      <c r="C787" s="6" t="n">
        <v>15.556</v>
      </c>
      <c r="D787" s="4" t="s">
        <v>460</v>
      </c>
      <c r="E787" s="18" t="s">
        <v>549</v>
      </c>
    </row>
    <row r="788" customFormat="false" ht="15" hidden="false" customHeight="true" outlineLevel="0" collapsed="false">
      <c r="A788" s="4" t="s">
        <v>310</v>
      </c>
      <c r="B788" s="4" t="s">
        <v>230</v>
      </c>
      <c r="C788" s="6" t="n">
        <v>19.077</v>
      </c>
      <c r="D788" s="4" t="s">
        <v>456</v>
      </c>
      <c r="E788" s="18" t="s">
        <v>479</v>
      </c>
    </row>
    <row r="789" customFormat="false" ht="15" hidden="false" customHeight="true" outlineLevel="0" collapsed="false">
      <c r="A789" s="4" t="s">
        <v>310</v>
      </c>
      <c r="B789" s="4" t="s">
        <v>230</v>
      </c>
      <c r="C789" s="6" t="n">
        <v>21.235</v>
      </c>
      <c r="D789" s="17" t="s">
        <v>455</v>
      </c>
      <c r="E789" s="18" t="s">
        <v>728</v>
      </c>
    </row>
    <row r="790" customFormat="false" ht="15" hidden="false" customHeight="true" outlineLevel="0" collapsed="false">
      <c r="A790" s="4" t="s">
        <v>310</v>
      </c>
      <c r="B790" s="4" t="s">
        <v>230</v>
      </c>
      <c r="C790" s="6" t="n">
        <v>22.18</v>
      </c>
      <c r="D790" s="4" t="s">
        <v>456</v>
      </c>
      <c r="E790" s="18" t="s">
        <v>729</v>
      </c>
    </row>
    <row r="791" customFormat="false" ht="15" hidden="false" customHeight="true" outlineLevel="0" collapsed="false">
      <c r="A791" s="4" t="s">
        <v>310</v>
      </c>
      <c r="B791" s="4" t="s">
        <v>230</v>
      </c>
      <c r="C791" s="6" t="n">
        <v>29.564</v>
      </c>
      <c r="D791" s="4" t="s">
        <v>456</v>
      </c>
      <c r="E791" s="18" t="s">
        <v>480</v>
      </c>
    </row>
    <row r="792" customFormat="false" ht="15" hidden="false" customHeight="true" outlineLevel="0" collapsed="false">
      <c r="A792" s="4" t="s">
        <v>310</v>
      </c>
      <c r="B792" s="4" t="s">
        <v>230</v>
      </c>
      <c r="C792" s="6" t="n">
        <v>36.197</v>
      </c>
      <c r="D792" s="17" t="s">
        <v>455</v>
      </c>
      <c r="E792" s="18" t="s">
        <v>730</v>
      </c>
    </row>
    <row r="793" customFormat="false" ht="15" hidden="false" customHeight="true" outlineLevel="0" collapsed="false">
      <c r="A793" s="4" t="s">
        <v>310</v>
      </c>
      <c r="B793" s="4" t="s">
        <v>230</v>
      </c>
      <c r="C793" s="6" t="n">
        <v>36.202</v>
      </c>
      <c r="D793" s="4" t="s">
        <v>460</v>
      </c>
      <c r="E793" s="18" t="s">
        <v>71</v>
      </c>
    </row>
    <row r="794" customFormat="false" ht="15" hidden="false" customHeight="true" outlineLevel="0" collapsed="false">
      <c r="A794" s="4" t="s">
        <v>310</v>
      </c>
      <c r="B794" s="4" t="s">
        <v>230</v>
      </c>
      <c r="C794" s="6" t="n">
        <v>36.25</v>
      </c>
      <c r="D794" s="4" t="s">
        <v>456</v>
      </c>
      <c r="E794" s="18" t="s">
        <v>482</v>
      </c>
    </row>
    <row r="795" customFormat="false" ht="15" hidden="false" customHeight="true" outlineLevel="0" collapsed="false">
      <c r="A795" s="4" t="s">
        <v>310</v>
      </c>
      <c r="B795" s="4" t="s">
        <v>230</v>
      </c>
      <c r="C795" s="6" t="n">
        <v>39.257</v>
      </c>
      <c r="D795" s="4" t="s">
        <v>456</v>
      </c>
      <c r="E795" s="18" t="s">
        <v>483</v>
      </c>
    </row>
    <row r="796" customFormat="false" ht="15" hidden="false" customHeight="true" outlineLevel="0" collapsed="false">
      <c r="A796" s="4" t="s">
        <v>310</v>
      </c>
      <c r="B796" s="4" t="s">
        <v>230</v>
      </c>
      <c r="C796" s="6" t="n">
        <v>47.564</v>
      </c>
      <c r="D796" s="17" t="s">
        <v>455</v>
      </c>
      <c r="E796" s="18" t="s">
        <v>466</v>
      </c>
    </row>
    <row r="797" customFormat="false" ht="15" hidden="false" customHeight="true" outlineLevel="0" collapsed="false">
      <c r="A797" s="4" t="s">
        <v>310</v>
      </c>
      <c r="B797" s="4" t="s">
        <v>230</v>
      </c>
      <c r="C797" s="6" t="n">
        <v>47.577</v>
      </c>
      <c r="D797" s="4" t="s">
        <v>460</v>
      </c>
      <c r="E797" s="18" t="s">
        <v>467</v>
      </c>
    </row>
    <row r="798" customFormat="false" ht="15" hidden="false" customHeight="true" outlineLevel="0" collapsed="false">
      <c r="A798" s="4" t="s">
        <v>310</v>
      </c>
      <c r="B798" s="4" t="s">
        <v>230</v>
      </c>
      <c r="C798" s="6" t="n">
        <v>47.604</v>
      </c>
      <c r="D798" s="4" t="s">
        <v>456</v>
      </c>
      <c r="E798" s="18" t="s">
        <v>468</v>
      </c>
    </row>
    <row r="799" customFormat="false" ht="15" hidden="false" customHeight="true" outlineLevel="0" collapsed="false">
      <c r="A799" s="4" t="s">
        <v>310</v>
      </c>
      <c r="B799" s="4" t="s">
        <v>230</v>
      </c>
      <c r="C799" s="6" t="n">
        <v>51.166</v>
      </c>
      <c r="D799" s="4" t="s">
        <v>456</v>
      </c>
      <c r="E799" s="18" t="s">
        <v>469</v>
      </c>
    </row>
    <row r="800" customFormat="false" ht="15" hidden="false" customHeight="true" outlineLevel="0" collapsed="false">
      <c r="A800" s="4" t="s">
        <v>310</v>
      </c>
      <c r="B800" s="4" t="s">
        <v>230</v>
      </c>
      <c r="C800" s="6" t="n">
        <v>54.928</v>
      </c>
      <c r="D800" s="17" t="s">
        <v>455</v>
      </c>
      <c r="E800" s="18" t="s">
        <v>487</v>
      </c>
    </row>
    <row r="801" customFormat="false" ht="15" hidden="false" customHeight="true" outlineLevel="0" collapsed="false">
      <c r="A801" s="4" t="s">
        <v>310</v>
      </c>
      <c r="B801" s="4" t="s">
        <v>230</v>
      </c>
      <c r="C801" s="6" t="n">
        <v>54.931</v>
      </c>
      <c r="D801" s="4" t="s">
        <v>460</v>
      </c>
      <c r="E801" s="18" t="s">
        <v>471</v>
      </c>
    </row>
    <row r="802" customFormat="false" ht="15" hidden="false" customHeight="true" outlineLevel="0" collapsed="false">
      <c r="A802" s="4" t="s">
        <v>310</v>
      </c>
      <c r="B802" s="4" t="s">
        <v>230</v>
      </c>
      <c r="C802" s="6" t="n">
        <v>54.94</v>
      </c>
      <c r="D802" s="4" t="s">
        <v>456</v>
      </c>
      <c r="E802" s="18" t="s">
        <v>472</v>
      </c>
    </row>
    <row r="803" customFormat="false" ht="15" hidden="false" customHeight="true" outlineLevel="0" collapsed="false">
      <c r="A803" s="4" t="s">
        <v>310</v>
      </c>
      <c r="B803" s="4" t="s">
        <v>230</v>
      </c>
      <c r="C803" s="6" t="n">
        <v>59.291</v>
      </c>
      <c r="D803" s="4" t="s">
        <v>456</v>
      </c>
      <c r="E803" s="18" t="s">
        <v>473</v>
      </c>
    </row>
    <row r="804" customFormat="false" ht="15" hidden="false" customHeight="true" outlineLevel="0" collapsed="false">
      <c r="A804" s="4" t="s">
        <v>314</v>
      </c>
      <c r="B804" s="4" t="s">
        <v>230</v>
      </c>
      <c r="C804" s="6" t="n">
        <v>8.923</v>
      </c>
      <c r="D804" s="17" t="s">
        <v>455</v>
      </c>
      <c r="E804" s="18" t="s">
        <v>315</v>
      </c>
    </row>
    <row r="805" customFormat="false" ht="15" hidden="false" customHeight="true" outlineLevel="0" collapsed="false">
      <c r="A805" s="4" t="s">
        <v>314</v>
      </c>
      <c r="B805" s="4" t="s">
        <v>230</v>
      </c>
      <c r="C805" s="6" t="n">
        <v>9.772</v>
      </c>
      <c r="D805" s="4" t="s">
        <v>456</v>
      </c>
      <c r="E805" s="18" t="s">
        <v>731</v>
      </c>
    </row>
    <row r="806" customFormat="false" ht="15" hidden="false" customHeight="true" outlineLevel="0" collapsed="false">
      <c r="A806" s="4" t="s">
        <v>314</v>
      </c>
      <c r="B806" s="4" t="s">
        <v>230</v>
      </c>
      <c r="C806" s="6" t="n">
        <v>11.708</v>
      </c>
      <c r="D806" s="4" t="s">
        <v>456</v>
      </c>
      <c r="E806" s="18" t="s">
        <v>732</v>
      </c>
    </row>
    <row r="807" customFormat="false" ht="15" hidden="false" customHeight="true" outlineLevel="0" collapsed="false">
      <c r="A807" s="4" t="s">
        <v>317</v>
      </c>
      <c r="B807" s="4" t="s">
        <v>230</v>
      </c>
      <c r="C807" s="6" t="n">
        <v>5.731</v>
      </c>
      <c r="D807" s="17" t="s">
        <v>455</v>
      </c>
      <c r="E807" s="18" t="s">
        <v>318</v>
      </c>
    </row>
    <row r="808" customFormat="false" ht="15" hidden="false" customHeight="true" outlineLevel="0" collapsed="false">
      <c r="A808" s="4" t="s">
        <v>317</v>
      </c>
      <c r="B808" s="4" t="s">
        <v>230</v>
      </c>
      <c r="C808" s="6" t="n">
        <v>6.777</v>
      </c>
      <c r="D808" s="4" t="s">
        <v>456</v>
      </c>
      <c r="E808" s="18" t="s">
        <v>733</v>
      </c>
    </row>
    <row r="809" customFormat="false" ht="15" hidden="false" customHeight="true" outlineLevel="0" collapsed="false">
      <c r="A809" s="4" t="s">
        <v>317</v>
      </c>
      <c r="B809" s="4" t="s">
        <v>230</v>
      </c>
      <c r="C809" s="6" t="n">
        <v>9.554</v>
      </c>
      <c r="D809" s="4" t="s">
        <v>456</v>
      </c>
      <c r="E809" s="18" t="s">
        <v>734</v>
      </c>
    </row>
    <row r="810" customFormat="false" ht="15" hidden="false" customHeight="true" outlineLevel="0" collapsed="false">
      <c r="A810" s="4" t="s">
        <v>321</v>
      </c>
      <c r="B810" s="4" t="s">
        <v>230</v>
      </c>
      <c r="C810" s="6" t="n">
        <v>7.694</v>
      </c>
      <c r="D810" s="17" t="s">
        <v>455</v>
      </c>
      <c r="E810" s="18" t="s">
        <v>239</v>
      </c>
    </row>
    <row r="811" customFormat="false" ht="15" hidden="false" customHeight="true" outlineLevel="0" collapsed="false">
      <c r="A811" s="4" t="s">
        <v>321</v>
      </c>
      <c r="B811" s="4" t="s">
        <v>230</v>
      </c>
      <c r="C811" s="6" t="n">
        <v>7.697</v>
      </c>
      <c r="D811" s="4" t="s">
        <v>460</v>
      </c>
      <c r="E811" s="18" t="s">
        <v>626</v>
      </c>
    </row>
    <row r="812" customFormat="false" ht="15" hidden="false" customHeight="true" outlineLevel="0" collapsed="false">
      <c r="A812" s="4" t="s">
        <v>321</v>
      </c>
      <c r="B812" s="4" t="s">
        <v>230</v>
      </c>
      <c r="C812" s="6" t="n">
        <v>9.492</v>
      </c>
      <c r="D812" s="4" t="s">
        <v>456</v>
      </c>
      <c r="E812" s="18" t="s">
        <v>627</v>
      </c>
    </row>
    <row r="813" customFormat="false" ht="15" hidden="false" customHeight="true" outlineLevel="0" collapsed="false">
      <c r="A813" s="4" t="s">
        <v>321</v>
      </c>
      <c r="B813" s="4" t="s">
        <v>230</v>
      </c>
      <c r="C813" s="6" t="n">
        <v>14.155</v>
      </c>
      <c r="D813" s="4" t="s">
        <v>456</v>
      </c>
      <c r="E813" s="18" t="s">
        <v>628</v>
      </c>
    </row>
    <row r="814" customFormat="false" ht="15" hidden="false" customHeight="true" outlineLevel="0" collapsed="false">
      <c r="A814" s="4" t="s">
        <v>321</v>
      </c>
      <c r="B814" s="4" t="s">
        <v>230</v>
      </c>
      <c r="C814" s="6" t="n">
        <v>20.001</v>
      </c>
      <c r="D814" s="17" t="s">
        <v>455</v>
      </c>
      <c r="E814" s="18" t="s">
        <v>496</v>
      </c>
    </row>
    <row r="815" customFormat="false" ht="15" hidden="false" customHeight="true" outlineLevel="0" collapsed="false">
      <c r="A815" s="4" t="s">
        <v>321</v>
      </c>
      <c r="B815" s="4" t="s">
        <v>230</v>
      </c>
      <c r="C815" s="6" t="n">
        <v>20.007</v>
      </c>
      <c r="D815" s="4" t="s">
        <v>460</v>
      </c>
      <c r="E815" s="18" t="s">
        <v>471</v>
      </c>
    </row>
    <row r="816" customFormat="false" ht="15" hidden="false" customHeight="true" outlineLevel="0" collapsed="false">
      <c r="A816" s="4" t="s">
        <v>321</v>
      </c>
      <c r="B816" s="4" t="s">
        <v>230</v>
      </c>
      <c r="C816" s="6" t="n">
        <v>20.045</v>
      </c>
      <c r="D816" s="4" t="s">
        <v>456</v>
      </c>
      <c r="E816" s="18" t="s">
        <v>472</v>
      </c>
    </row>
    <row r="817" customFormat="false" ht="15" hidden="false" customHeight="true" outlineLevel="0" collapsed="false">
      <c r="A817" s="4" t="s">
        <v>321</v>
      </c>
      <c r="B817" s="4" t="s">
        <v>230</v>
      </c>
      <c r="C817" s="6" t="n">
        <v>26.134</v>
      </c>
      <c r="D817" s="4" t="s">
        <v>456</v>
      </c>
      <c r="E817" s="18" t="s">
        <v>735</v>
      </c>
    </row>
    <row r="818" customFormat="false" ht="15" hidden="false" customHeight="true" outlineLevel="0" collapsed="false">
      <c r="A818" s="4" t="s">
        <v>321</v>
      </c>
      <c r="B818" s="4" t="s">
        <v>230</v>
      </c>
      <c r="C818" s="6" t="n">
        <v>34.687</v>
      </c>
      <c r="D818" s="17" t="s">
        <v>455</v>
      </c>
      <c r="E818" s="18" t="s">
        <v>541</v>
      </c>
    </row>
    <row r="819" customFormat="false" ht="15" hidden="false" customHeight="true" outlineLevel="0" collapsed="false">
      <c r="A819" s="4" t="s">
        <v>321</v>
      </c>
      <c r="B819" s="4" t="s">
        <v>230</v>
      </c>
      <c r="C819" s="6" t="n">
        <v>34.692</v>
      </c>
      <c r="D819" s="4" t="s">
        <v>460</v>
      </c>
      <c r="E819" s="18" t="s">
        <v>523</v>
      </c>
    </row>
    <row r="820" customFormat="false" ht="15" hidden="false" customHeight="true" outlineLevel="0" collapsed="false">
      <c r="A820" s="4" t="s">
        <v>321</v>
      </c>
      <c r="B820" s="4" t="s">
        <v>230</v>
      </c>
      <c r="C820" s="6" t="n">
        <v>34.712</v>
      </c>
      <c r="D820" s="4" t="s">
        <v>456</v>
      </c>
      <c r="E820" s="18" t="s">
        <v>524</v>
      </c>
    </row>
    <row r="821" customFormat="false" ht="15" hidden="false" customHeight="true" outlineLevel="0" collapsed="false">
      <c r="A821" s="4" t="s">
        <v>321</v>
      </c>
      <c r="B821" s="4" t="s">
        <v>230</v>
      </c>
      <c r="C821" s="6" t="n">
        <v>36.906</v>
      </c>
      <c r="D821" s="17" t="s">
        <v>455</v>
      </c>
      <c r="E821" s="18" t="s">
        <v>736</v>
      </c>
    </row>
    <row r="822" customFormat="false" ht="15" hidden="false" customHeight="true" outlineLevel="0" collapsed="false">
      <c r="A822" s="4" t="s">
        <v>321</v>
      </c>
      <c r="B822" s="4" t="s">
        <v>230</v>
      </c>
      <c r="C822" s="6" t="n">
        <v>37.751</v>
      </c>
      <c r="D822" s="4" t="s">
        <v>456</v>
      </c>
      <c r="E822" s="18" t="s">
        <v>737</v>
      </c>
    </row>
    <row r="823" customFormat="false" ht="15" hidden="false" customHeight="true" outlineLevel="0" collapsed="false">
      <c r="A823" s="4" t="s">
        <v>321</v>
      </c>
      <c r="B823" s="4" t="s">
        <v>230</v>
      </c>
      <c r="C823" s="6" t="n">
        <v>42.955</v>
      </c>
      <c r="D823" s="17" t="s">
        <v>455</v>
      </c>
      <c r="E823" s="18" t="s">
        <v>738</v>
      </c>
    </row>
    <row r="824" customFormat="false" ht="15" hidden="false" customHeight="true" outlineLevel="0" collapsed="false">
      <c r="A824" s="4" t="s">
        <v>321</v>
      </c>
      <c r="B824" s="4" t="s">
        <v>230</v>
      </c>
      <c r="C824" s="6" t="n">
        <v>42.959</v>
      </c>
      <c r="D824" s="4" t="s">
        <v>460</v>
      </c>
      <c r="E824" s="18" t="s">
        <v>57</v>
      </c>
    </row>
    <row r="825" customFormat="false" ht="15" hidden="false" customHeight="true" outlineLevel="0" collapsed="false">
      <c r="A825" s="4" t="s">
        <v>321</v>
      </c>
      <c r="B825" s="4" t="s">
        <v>230</v>
      </c>
      <c r="C825" s="6" t="n">
        <v>43.012</v>
      </c>
      <c r="D825" s="4" t="s">
        <v>456</v>
      </c>
      <c r="E825" s="18" t="s">
        <v>464</v>
      </c>
    </row>
    <row r="826" customFormat="false" ht="15" hidden="false" customHeight="true" outlineLevel="0" collapsed="false">
      <c r="A826" s="4" t="s">
        <v>321</v>
      </c>
      <c r="B826" s="4" t="s">
        <v>230</v>
      </c>
      <c r="C826" s="6" t="n">
        <v>47.136</v>
      </c>
      <c r="D826" s="4" t="s">
        <v>456</v>
      </c>
      <c r="E826" s="18" t="s">
        <v>631</v>
      </c>
    </row>
    <row r="827" customFormat="false" ht="15" hidden="false" customHeight="true" outlineLevel="0" collapsed="false">
      <c r="A827" s="4" t="s">
        <v>321</v>
      </c>
      <c r="B827" s="4" t="s">
        <v>230</v>
      </c>
      <c r="C827" s="6" t="n">
        <v>47.847</v>
      </c>
      <c r="D827" s="17" t="s">
        <v>455</v>
      </c>
      <c r="E827" s="18" t="s">
        <v>739</v>
      </c>
    </row>
    <row r="828" customFormat="false" ht="15" hidden="false" customHeight="true" outlineLevel="0" collapsed="false">
      <c r="A828" s="4" t="s">
        <v>321</v>
      </c>
      <c r="B828" s="4" t="s">
        <v>230</v>
      </c>
      <c r="C828" s="6" t="n">
        <v>53.176</v>
      </c>
      <c r="D828" s="4" t="s">
        <v>456</v>
      </c>
      <c r="E828" s="18" t="s">
        <v>648</v>
      </c>
    </row>
    <row r="829" customFormat="false" ht="15" hidden="false" customHeight="true" outlineLevel="0" collapsed="false">
      <c r="A829" s="4" t="s">
        <v>321</v>
      </c>
      <c r="B829" s="4" t="s">
        <v>230</v>
      </c>
      <c r="C829" s="6" t="n">
        <v>59.51</v>
      </c>
      <c r="D829" s="17" t="s">
        <v>455</v>
      </c>
      <c r="E829" s="18" t="s">
        <v>547</v>
      </c>
    </row>
    <row r="830" customFormat="false" ht="15" hidden="false" customHeight="true" outlineLevel="0" collapsed="false">
      <c r="A830" s="4" t="s">
        <v>321</v>
      </c>
      <c r="B830" s="4" t="s">
        <v>230</v>
      </c>
      <c r="C830" s="6" t="n">
        <v>59.516</v>
      </c>
      <c r="D830" s="4" t="s">
        <v>460</v>
      </c>
      <c r="E830" s="18" t="s">
        <v>503</v>
      </c>
    </row>
    <row r="831" customFormat="false" ht="15" hidden="false" customHeight="true" outlineLevel="0" collapsed="false">
      <c r="A831" s="4" t="s">
        <v>321</v>
      </c>
      <c r="B831" s="4" t="s">
        <v>230</v>
      </c>
      <c r="C831" s="6" t="n">
        <v>59.583</v>
      </c>
      <c r="D831" s="4" t="s">
        <v>456</v>
      </c>
      <c r="E831" s="18" t="s">
        <v>468</v>
      </c>
    </row>
    <row r="832" customFormat="false" ht="15" hidden="false" customHeight="true" outlineLevel="0" collapsed="false">
      <c r="A832" s="4" t="s">
        <v>321</v>
      </c>
      <c r="B832" s="4" t="s">
        <v>230</v>
      </c>
      <c r="C832" s="6" t="n">
        <v>67.618</v>
      </c>
      <c r="D832" s="4" t="s">
        <v>456</v>
      </c>
      <c r="E832" s="18" t="s">
        <v>473</v>
      </c>
    </row>
    <row r="833" customFormat="false" ht="15" hidden="false" customHeight="true" outlineLevel="0" collapsed="false">
      <c r="A833" s="4" t="s">
        <v>323</v>
      </c>
      <c r="B833" s="4" t="s">
        <v>230</v>
      </c>
      <c r="C833" s="6" t="n">
        <v>7.827</v>
      </c>
      <c r="D833" s="17" t="s">
        <v>455</v>
      </c>
      <c r="E833" s="18" t="s">
        <v>325</v>
      </c>
    </row>
    <row r="834" customFormat="false" ht="15" hidden="false" customHeight="true" outlineLevel="0" collapsed="false">
      <c r="A834" s="4" t="s">
        <v>323</v>
      </c>
      <c r="B834" s="4" t="s">
        <v>230</v>
      </c>
      <c r="C834" s="6" t="n">
        <v>8.704</v>
      </c>
      <c r="D834" s="4" t="s">
        <v>460</v>
      </c>
      <c r="E834" s="18" t="s">
        <v>503</v>
      </c>
    </row>
    <row r="835" customFormat="false" ht="15" hidden="false" customHeight="true" outlineLevel="0" collapsed="false">
      <c r="A835" s="4" t="s">
        <v>323</v>
      </c>
      <c r="B835" s="4" t="s">
        <v>230</v>
      </c>
      <c r="C835" s="6" t="n">
        <v>9.899</v>
      </c>
      <c r="D835" s="4" t="s">
        <v>460</v>
      </c>
      <c r="E835" s="18" t="s">
        <v>505</v>
      </c>
    </row>
    <row r="836" customFormat="false" ht="15" hidden="false" customHeight="true" outlineLevel="0" collapsed="false">
      <c r="A836" s="4" t="s">
        <v>323</v>
      </c>
      <c r="B836" s="4" t="s">
        <v>230</v>
      </c>
      <c r="C836" s="6" t="n">
        <v>9.931</v>
      </c>
      <c r="D836" s="4" t="s">
        <v>456</v>
      </c>
      <c r="E836" s="18" t="s">
        <v>740</v>
      </c>
    </row>
    <row r="837" customFormat="false" ht="15" hidden="false" customHeight="true" outlineLevel="0" collapsed="false">
      <c r="A837" s="4" t="s">
        <v>323</v>
      </c>
      <c r="B837" s="4" t="s">
        <v>230</v>
      </c>
      <c r="C837" s="6" t="n">
        <v>13.077</v>
      </c>
      <c r="D837" s="4" t="s">
        <v>456</v>
      </c>
      <c r="E837" s="18" t="s">
        <v>479</v>
      </c>
    </row>
    <row r="838" customFormat="false" ht="15" hidden="false" customHeight="true" outlineLevel="0" collapsed="false">
      <c r="A838" s="4" t="s">
        <v>323</v>
      </c>
      <c r="B838" s="4" t="s">
        <v>230</v>
      </c>
      <c r="C838" s="6" t="n">
        <v>16.149</v>
      </c>
      <c r="D838" s="4" t="s">
        <v>456</v>
      </c>
      <c r="E838" s="18" t="s">
        <v>480</v>
      </c>
    </row>
    <row r="839" customFormat="false" ht="15" hidden="false" customHeight="true" outlineLevel="0" collapsed="false">
      <c r="A839" s="4" t="s">
        <v>323</v>
      </c>
      <c r="B839" s="4" t="s">
        <v>230</v>
      </c>
      <c r="C839" s="6" t="n">
        <v>23.738</v>
      </c>
      <c r="D839" s="17" t="s">
        <v>455</v>
      </c>
      <c r="E839" s="18" t="s">
        <v>741</v>
      </c>
    </row>
    <row r="840" customFormat="false" ht="15" hidden="false" customHeight="true" outlineLevel="0" collapsed="false">
      <c r="A840" s="4" t="s">
        <v>323</v>
      </c>
      <c r="B840" s="4" t="s">
        <v>230</v>
      </c>
      <c r="C840" s="6" t="n">
        <v>24.85</v>
      </c>
      <c r="D840" s="4" t="s">
        <v>456</v>
      </c>
      <c r="E840" s="18" t="s">
        <v>742</v>
      </c>
    </row>
    <row r="841" customFormat="false" ht="15" hidden="false" customHeight="true" outlineLevel="0" collapsed="false">
      <c r="A841" s="4" t="s">
        <v>323</v>
      </c>
      <c r="B841" s="4" t="s">
        <v>230</v>
      </c>
      <c r="C841" s="6" t="n">
        <v>27.367</v>
      </c>
      <c r="D841" s="17" t="s">
        <v>455</v>
      </c>
      <c r="E841" s="18" t="s">
        <v>743</v>
      </c>
    </row>
    <row r="842" customFormat="false" ht="15" hidden="false" customHeight="true" outlineLevel="0" collapsed="false">
      <c r="A842" s="4" t="s">
        <v>323</v>
      </c>
      <c r="B842" s="4" t="s">
        <v>230</v>
      </c>
      <c r="C842" s="6" t="n">
        <v>28.312</v>
      </c>
      <c r="D842" s="4" t="s">
        <v>456</v>
      </c>
      <c r="E842" s="18" t="s">
        <v>744</v>
      </c>
    </row>
    <row r="843" customFormat="false" ht="15" hidden="false" customHeight="true" outlineLevel="0" collapsed="false">
      <c r="A843" s="4" t="s">
        <v>323</v>
      </c>
      <c r="B843" s="4" t="s">
        <v>230</v>
      </c>
      <c r="C843" s="6" t="n">
        <v>32.992</v>
      </c>
      <c r="D843" s="4" t="s">
        <v>456</v>
      </c>
      <c r="E843" s="18" t="s">
        <v>745</v>
      </c>
    </row>
    <row r="844" customFormat="false" ht="15" hidden="false" customHeight="true" outlineLevel="0" collapsed="false">
      <c r="A844" s="4" t="s">
        <v>323</v>
      </c>
      <c r="B844" s="4" t="s">
        <v>230</v>
      </c>
      <c r="C844" s="6" t="n">
        <v>37.166</v>
      </c>
      <c r="D844" s="17" t="s">
        <v>455</v>
      </c>
      <c r="E844" s="18" t="s">
        <v>746</v>
      </c>
    </row>
    <row r="845" customFormat="false" ht="15" hidden="false" customHeight="true" outlineLevel="0" collapsed="false">
      <c r="A845" s="4" t="s">
        <v>323</v>
      </c>
      <c r="B845" s="4" t="s">
        <v>230</v>
      </c>
      <c r="C845" s="6" t="n">
        <v>37.169</v>
      </c>
      <c r="D845" s="4" t="s">
        <v>460</v>
      </c>
      <c r="E845" s="18" t="s">
        <v>71</v>
      </c>
    </row>
    <row r="846" customFormat="false" ht="15" hidden="false" customHeight="true" outlineLevel="0" collapsed="false">
      <c r="A846" s="4" t="s">
        <v>323</v>
      </c>
      <c r="B846" s="4" t="s">
        <v>230</v>
      </c>
      <c r="C846" s="6" t="n">
        <v>37.212</v>
      </c>
      <c r="D846" s="4" t="s">
        <v>456</v>
      </c>
      <c r="E846" s="18" t="s">
        <v>482</v>
      </c>
    </row>
    <row r="847" customFormat="false" ht="15" hidden="false" customHeight="true" outlineLevel="0" collapsed="false">
      <c r="A847" s="4" t="s">
        <v>323</v>
      </c>
      <c r="B847" s="4" t="s">
        <v>230</v>
      </c>
      <c r="C847" s="6" t="n">
        <v>38.249</v>
      </c>
      <c r="D847" s="17" t="s">
        <v>455</v>
      </c>
      <c r="E847" s="18" t="s">
        <v>747</v>
      </c>
    </row>
    <row r="848" customFormat="false" ht="15" hidden="false" customHeight="true" outlineLevel="0" collapsed="false">
      <c r="A848" s="4" t="s">
        <v>323</v>
      </c>
      <c r="B848" s="4" t="s">
        <v>230</v>
      </c>
      <c r="C848" s="6" t="n">
        <v>39.524</v>
      </c>
      <c r="D848" s="4" t="s">
        <v>456</v>
      </c>
      <c r="E848" s="18" t="s">
        <v>748</v>
      </c>
    </row>
    <row r="849" customFormat="false" ht="15" hidden="false" customHeight="true" outlineLevel="0" collapsed="false">
      <c r="A849" s="4" t="s">
        <v>323</v>
      </c>
      <c r="B849" s="4" t="s">
        <v>230</v>
      </c>
      <c r="C849" s="6" t="n">
        <v>42.152</v>
      </c>
      <c r="D849" s="4" t="s">
        <v>456</v>
      </c>
      <c r="E849" s="18" t="s">
        <v>648</v>
      </c>
    </row>
    <row r="850" customFormat="false" ht="15" hidden="false" customHeight="true" outlineLevel="0" collapsed="false">
      <c r="A850" s="4" t="s">
        <v>323</v>
      </c>
      <c r="B850" s="4" t="s">
        <v>230</v>
      </c>
      <c r="C850" s="6" t="n">
        <v>44.359</v>
      </c>
      <c r="D850" s="4" t="s">
        <v>456</v>
      </c>
      <c r="E850" s="18" t="s">
        <v>483</v>
      </c>
    </row>
    <row r="851" customFormat="false" ht="15" hidden="false" customHeight="true" outlineLevel="0" collapsed="false">
      <c r="A851" s="4" t="s">
        <v>323</v>
      </c>
      <c r="B851" s="4" t="s">
        <v>230</v>
      </c>
      <c r="C851" s="6" t="n">
        <v>47.897</v>
      </c>
      <c r="D851" s="17" t="s">
        <v>455</v>
      </c>
      <c r="E851" s="18" t="s">
        <v>516</v>
      </c>
    </row>
    <row r="852" customFormat="false" ht="15" hidden="false" customHeight="true" outlineLevel="0" collapsed="false">
      <c r="A852" s="4" t="s">
        <v>323</v>
      </c>
      <c r="B852" s="4" t="s">
        <v>230</v>
      </c>
      <c r="C852" s="6" t="n">
        <v>47.902</v>
      </c>
      <c r="D852" s="4" t="s">
        <v>460</v>
      </c>
      <c r="E852" s="18" t="s">
        <v>467</v>
      </c>
    </row>
    <row r="853" customFormat="false" ht="15" hidden="false" customHeight="true" outlineLevel="0" collapsed="false">
      <c r="A853" s="4" t="s">
        <v>323</v>
      </c>
      <c r="B853" s="4" t="s">
        <v>230</v>
      </c>
      <c r="C853" s="6" t="n">
        <v>50.287</v>
      </c>
      <c r="D853" s="4" t="s">
        <v>456</v>
      </c>
      <c r="E853" s="18" t="s">
        <v>468</v>
      </c>
    </row>
    <row r="854" customFormat="false" ht="15" hidden="false" customHeight="true" outlineLevel="0" collapsed="false">
      <c r="A854" s="4" t="s">
        <v>323</v>
      </c>
      <c r="B854" s="4" t="s">
        <v>230</v>
      </c>
      <c r="C854" s="6" t="n">
        <v>52.503</v>
      </c>
      <c r="D854" s="4" t="s">
        <v>456</v>
      </c>
      <c r="E854" s="18" t="s">
        <v>469</v>
      </c>
    </row>
    <row r="855" customFormat="false" ht="15" hidden="false" customHeight="true" outlineLevel="0" collapsed="false">
      <c r="A855" s="4" t="s">
        <v>323</v>
      </c>
      <c r="B855" s="4" t="s">
        <v>230</v>
      </c>
      <c r="C855" s="6" t="n">
        <v>56.105</v>
      </c>
      <c r="D855" s="17" t="s">
        <v>455</v>
      </c>
      <c r="E855" s="18" t="s">
        <v>470</v>
      </c>
    </row>
    <row r="856" customFormat="false" ht="15" hidden="false" customHeight="true" outlineLevel="0" collapsed="false">
      <c r="A856" s="4" t="s">
        <v>323</v>
      </c>
      <c r="B856" s="4" t="s">
        <v>230</v>
      </c>
      <c r="C856" s="6" t="n">
        <v>56.118</v>
      </c>
      <c r="D856" s="4" t="s">
        <v>460</v>
      </c>
      <c r="E856" s="18" t="s">
        <v>471</v>
      </c>
    </row>
    <row r="857" customFormat="false" ht="15" hidden="false" customHeight="true" outlineLevel="0" collapsed="false">
      <c r="A857" s="4" t="s">
        <v>323</v>
      </c>
      <c r="B857" s="4" t="s">
        <v>230</v>
      </c>
      <c r="C857" s="6" t="n">
        <v>56.127</v>
      </c>
      <c r="D857" s="4" t="s">
        <v>456</v>
      </c>
      <c r="E857" s="18" t="s">
        <v>472</v>
      </c>
    </row>
    <row r="858" customFormat="false" ht="15" hidden="false" customHeight="true" outlineLevel="0" collapsed="false">
      <c r="A858" s="4" t="s">
        <v>323</v>
      </c>
      <c r="B858" s="4" t="s">
        <v>230</v>
      </c>
      <c r="C858" s="6" t="n">
        <v>60.538</v>
      </c>
      <c r="D858" s="4" t="s">
        <v>456</v>
      </c>
      <c r="E858" s="18" t="s">
        <v>473</v>
      </c>
    </row>
    <row r="859" customFormat="false" ht="15" hidden="false" customHeight="true" outlineLevel="0" collapsed="false">
      <c r="A859" s="4" t="s">
        <v>327</v>
      </c>
      <c r="B859" s="4" t="s">
        <v>230</v>
      </c>
      <c r="C859" s="6" t="n">
        <v>3.839</v>
      </c>
      <c r="D859" s="17" t="s">
        <v>455</v>
      </c>
      <c r="E859" s="18" t="s">
        <v>328</v>
      </c>
    </row>
    <row r="860" customFormat="false" ht="15" hidden="false" customHeight="true" outlineLevel="0" collapsed="false">
      <c r="A860" s="4" t="s">
        <v>327</v>
      </c>
      <c r="B860" s="4" t="s">
        <v>230</v>
      </c>
      <c r="C860" s="6" t="n">
        <v>3.856</v>
      </c>
      <c r="D860" s="4" t="s">
        <v>456</v>
      </c>
      <c r="E860" s="18" t="s">
        <v>698</v>
      </c>
    </row>
    <row r="861" customFormat="false" ht="15" hidden="false" customHeight="true" outlineLevel="0" collapsed="false">
      <c r="A861" s="4" t="s">
        <v>327</v>
      </c>
      <c r="B861" s="4" t="s">
        <v>230</v>
      </c>
      <c r="C861" s="6" t="n">
        <v>10.111</v>
      </c>
      <c r="D861" s="4" t="s">
        <v>456</v>
      </c>
      <c r="E861" s="18" t="s">
        <v>579</v>
      </c>
    </row>
    <row r="862" customFormat="false" ht="15" hidden="false" customHeight="true" outlineLevel="0" collapsed="false">
      <c r="A862" s="4" t="s">
        <v>327</v>
      </c>
      <c r="B862" s="4" t="s">
        <v>230</v>
      </c>
      <c r="C862" s="6" t="n">
        <v>18.196</v>
      </c>
      <c r="D862" s="17" t="s">
        <v>455</v>
      </c>
      <c r="E862" s="18" t="s">
        <v>749</v>
      </c>
    </row>
    <row r="863" customFormat="false" ht="15" hidden="false" customHeight="true" outlineLevel="0" collapsed="false">
      <c r="A863" s="4" t="s">
        <v>327</v>
      </c>
      <c r="B863" s="4" t="s">
        <v>230</v>
      </c>
      <c r="C863" s="6" t="n">
        <v>19.358</v>
      </c>
      <c r="D863" s="4" t="s">
        <v>460</v>
      </c>
      <c r="E863" s="18" t="s">
        <v>549</v>
      </c>
    </row>
    <row r="864" customFormat="false" ht="15" hidden="false" customHeight="true" outlineLevel="0" collapsed="false">
      <c r="A864" s="4" t="s">
        <v>327</v>
      </c>
      <c r="B864" s="4" t="s">
        <v>230</v>
      </c>
      <c r="C864" s="6" t="n">
        <v>20.004</v>
      </c>
      <c r="D864" s="4" t="s">
        <v>456</v>
      </c>
      <c r="E864" s="18" t="s">
        <v>479</v>
      </c>
    </row>
    <row r="865" customFormat="false" ht="15" hidden="false" customHeight="true" outlineLevel="0" collapsed="false">
      <c r="A865" s="4" t="s">
        <v>327</v>
      </c>
      <c r="B865" s="4" t="s">
        <v>230</v>
      </c>
      <c r="C865" s="6" t="n">
        <v>24.594</v>
      </c>
      <c r="D865" s="4" t="s">
        <v>456</v>
      </c>
      <c r="E865" s="18" t="s">
        <v>480</v>
      </c>
    </row>
    <row r="866" customFormat="false" ht="15" hidden="false" customHeight="true" outlineLevel="0" collapsed="false">
      <c r="A866" s="4" t="s">
        <v>327</v>
      </c>
      <c r="B866" s="4" t="s">
        <v>230</v>
      </c>
      <c r="C866" s="6" t="n">
        <v>34.29</v>
      </c>
      <c r="D866" s="17" t="s">
        <v>455</v>
      </c>
      <c r="E866" s="18" t="s">
        <v>750</v>
      </c>
    </row>
    <row r="867" customFormat="false" ht="15" hidden="false" customHeight="true" outlineLevel="0" collapsed="false">
      <c r="A867" s="4" t="s">
        <v>327</v>
      </c>
      <c r="B867" s="4" t="s">
        <v>230</v>
      </c>
      <c r="C867" s="6" t="n">
        <v>34.304</v>
      </c>
      <c r="D867" s="4" t="s">
        <v>460</v>
      </c>
      <c r="E867" s="18" t="s">
        <v>551</v>
      </c>
    </row>
    <row r="868" customFormat="false" ht="15" hidden="false" customHeight="true" outlineLevel="0" collapsed="false">
      <c r="A868" s="4" t="s">
        <v>327</v>
      </c>
      <c r="B868" s="4" t="s">
        <v>230</v>
      </c>
      <c r="C868" s="6" t="n">
        <v>34.349</v>
      </c>
      <c r="D868" s="4" t="s">
        <v>456</v>
      </c>
      <c r="E868" s="18" t="s">
        <v>464</v>
      </c>
    </row>
    <row r="869" customFormat="false" ht="15" hidden="false" customHeight="true" outlineLevel="0" collapsed="false">
      <c r="A869" s="4" t="s">
        <v>327</v>
      </c>
      <c r="B869" s="4" t="s">
        <v>230</v>
      </c>
      <c r="C869" s="6" t="n">
        <v>39.727</v>
      </c>
      <c r="D869" s="4" t="s">
        <v>456</v>
      </c>
      <c r="E869" s="18" t="s">
        <v>468</v>
      </c>
    </row>
    <row r="870" customFormat="false" ht="15" hidden="false" customHeight="true" outlineLevel="0" collapsed="false">
      <c r="A870" s="4" t="s">
        <v>327</v>
      </c>
      <c r="B870" s="4" t="s">
        <v>230</v>
      </c>
      <c r="C870" s="6" t="n">
        <v>47.644</v>
      </c>
      <c r="D870" s="4" t="s">
        <v>456</v>
      </c>
      <c r="E870" s="18" t="s">
        <v>473</v>
      </c>
    </row>
    <row r="871" customFormat="false" ht="15" hidden="false" customHeight="true" outlineLevel="0" collapsed="false">
      <c r="A871" s="4" t="s">
        <v>330</v>
      </c>
      <c r="B871" s="4" t="s">
        <v>230</v>
      </c>
      <c r="C871" s="6" t="n">
        <v>4.445</v>
      </c>
      <c r="D871" s="17" t="s">
        <v>455</v>
      </c>
      <c r="E871" s="18" t="s">
        <v>331</v>
      </c>
    </row>
    <row r="872" customFormat="false" ht="15" hidden="false" customHeight="true" outlineLevel="0" collapsed="false">
      <c r="A872" s="4" t="s">
        <v>330</v>
      </c>
      <c r="B872" s="4" t="s">
        <v>230</v>
      </c>
      <c r="C872" s="6" t="n">
        <v>5.345</v>
      </c>
      <c r="D872" s="4" t="s">
        <v>456</v>
      </c>
      <c r="E872" s="18" t="s">
        <v>566</v>
      </c>
    </row>
    <row r="873" customFormat="false" ht="15" hidden="false" customHeight="true" outlineLevel="0" collapsed="false">
      <c r="A873" s="4" t="s">
        <v>330</v>
      </c>
      <c r="B873" s="4" t="s">
        <v>230</v>
      </c>
      <c r="C873" s="6" t="n">
        <v>7.669</v>
      </c>
      <c r="D873" s="4" t="s">
        <v>456</v>
      </c>
      <c r="E873" s="18" t="s">
        <v>568</v>
      </c>
    </row>
    <row r="874" customFormat="false" ht="15" hidden="false" customHeight="true" outlineLevel="0" collapsed="false">
      <c r="A874" s="4" t="s">
        <v>330</v>
      </c>
      <c r="B874" s="4" t="s">
        <v>230</v>
      </c>
      <c r="C874" s="6" t="n">
        <v>10.427</v>
      </c>
      <c r="D874" s="4" t="s">
        <v>456</v>
      </c>
      <c r="E874" s="18" t="s">
        <v>560</v>
      </c>
    </row>
    <row r="875" customFormat="false" ht="15" hidden="false" customHeight="true" outlineLevel="0" collapsed="false">
      <c r="A875" s="4" t="s">
        <v>330</v>
      </c>
      <c r="B875" s="4" t="s">
        <v>230</v>
      </c>
      <c r="C875" s="6" t="n">
        <v>15.051</v>
      </c>
      <c r="D875" s="17" t="s">
        <v>455</v>
      </c>
      <c r="E875" s="18" t="s">
        <v>516</v>
      </c>
    </row>
    <row r="876" customFormat="false" ht="15" hidden="false" customHeight="true" outlineLevel="0" collapsed="false">
      <c r="A876" s="4" t="s">
        <v>330</v>
      </c>
      <c r="B876" s="4" t="s">
        <v>230</v>
      </c>
      <c r="C876" s="6" t="n">
        <v>15.055</v>
      </c>
      <c r="D876" s="4" t="s">
        <v>460</v>
      </c>
      <c r="E876" s="18" t="s">
        <v>549</v>
      </c>
    </row>
    <row r="877" customFormat="false" ht="15" hidden="false" customHeight="true" outlineLevel="0" collapsed="false">
      <c r="A877" s="4" t="s">
        <v>330</v>
      </c>
      <c r="B877" s="4" t="s">
        <v>230</v>
      </c>
      <c r="C877" s="6" t="n">
        <v>15.911</v>
      </c>
      <c r="D877" s="4" t="s">
        <v>456</v>
      </c>
      <c r="E877" s="18" t="s">
        <v>494</v>
      </c>
    </row>
    <row r="878" customFormat="false" ht="15" hidden="false" customHeight="true" outlineLevel="0" collapsed="false">
      <c r="A878" s="4" t="s">
        <v>330</v>
      </c>
      <c r="B878" s="4" t="s">
        <v>230</v>
      </c>
      <c r="C878" s="6" t="n">
        <v>22.337</v>
      </c>
      <c r="D878" s="4" t="s">
        <v>456</v>
      </c>
      <c r="E878" s="18" t="s">
        <v>495</v>
      </c>
    </row>
    <row r="879" customFormat="false" ht="15" hidden="false" customHeight="true" outlineLevel="0" collapsed="false">
      <c r="A879" s="4" t="s">
        <v>330</v>
      </c>
      <c r="B879" s="4" t="s">
        <v>230</v>
      </c>
      <c r="C879" s="6" t="n">
        <v>31.449</v>
      </c>
      <c r="D879" s="17" t="s">
        <v>455</v>
      </c>
      <c r="E879" s="18" t="s">
        <v>86</v>
      </c>
    </row>
    <row r="880" customFormat="false" ht="15" hidden="false" customHeight="true" outlineLevel="0" collapsed="false">
      <c r="A880" s="4" t="s">
        <v>330</v>
      </c>
      <c r="B880" s="4" t="s">
        <v>230</v>
      </c>
      <c r="C880" s="6" t="n">
        <v>31.461</v>
      </c>
      <c r="D880" s="4" t="s">
        <v>460</v>
      </c>
      <c r="E880" s="18" t="s">
        <v>57</v>
      </c>
    </row>
    <row r="881" customFormat="false" ht="15" hidden="false" customHeight="true" outlineLevel="0" collapsed="false">
      <c r="A881" s="4" t="s">
        <v>330</v>
      </c>
      <c r="B881" s="4" t="s">
        <v>230</v>
      </c>
      <c r="C881" s="6" t="n">
        <v>31.491</v>
      </c>
      <c r="D881" s="4" t="s">
        <v>456</v>
      </c>
      <c r="E881" s="18" t="s">
        <v>464</v>
      </c>
    </row>
    <row r="882" customFormat="false" ht="15" hidden="false" customHeight="true" outlineLevel="0" collapsed="false">
      <c r="A882" s="4" t="s">
        <v>330</v>
      </c>
      <c r="B882" s="4" t="s">
        <v>230</v>
      </c>
      <c r="C882" s="6" t="n">
        <v>33.223</v>
      </c>
      <c r="D882" s="17" t="s">
        <v>455</v>
      </c>
      <c r="E882" s="18" t="s">
        <v>751</v>
      </c>
    </row>
    <row r="883" customFormat="false" ht="15" hidden="false" customHeight="true" outlineLevel="0" collapsed="false">
      <c r="A883" s="4" t="s">
        <v>330</v>
      </c>
      <c r="B883" s="4" t="s">
        <v>230</v>
      </c>
      <c r="C883" s="6" t="n">
        <v>33.227</v>
      </c>
      <c r="D883" s="4" t="s">
        <v>460</v>
      </c>
      <c r="E883" s="18" t="s">
        <v>467</v>
      </c>
    </row>
    <row r="884" customFormat="false" ht="15" hidden="false" customHeight="true" outlineLevel="0" collapsed="false">
      <c r="A884" s="4" t="s">
        <v>330</v>
      </c>
      <c r="B884" s="4" t="s">
        <v>230</v>
      </c>
      <c r="C884" s="6" t="n">
        <v>33.681</v>
      </c>
      <c r="D884" s="4" t="s">
        <v>456</v>
      </c>
      <c r="E884" s="18" t="s">
        <v>752</v>
      </c>
    </row>
    <row r="885" customFormat="false" ht="15" hidden="false" customHeight="true" outlineLevel="0" collapsed="false">
      <c r="A885" s="4" t="s">
        <v>330</v>
      </c>
      <c r="B885" s="4" t="s">
        <v>230</v>
      </c>
      <c r="C885" s="6" t="n">
        <v>38.898</v>
      </c>
      <c r="D885" s="4" t="s">
        <v>456</v>
      </c>
      <c r="E885" s="18" t="s">
        <v>468</v>
      </c>
    </row>
    <row r="886" customFormat="false" ht="15" hidden="false" customHeight="true" outlineLevel="0" collapsed="false">
      <c r="A886" s="4" t="s">
        <v>330</v>
      </c>
      <c r="B886" s="4" t="s">
        <v>230</v>
      </c>
      <c r="C886" s="6" t="n">
        <v>42.463</v>
      </c>
      <c r="D886" s="4" t="s">
        <v>456</v>
      </c>
      <c r="E886" s="18" t="s">
        <v>469</v>
      </c>
    </row>
    <row r="887" customFormat="false" ht="15" hidden="false" customHeight="true" outlineLevel="0" collapsed="false">
      <c r="A887" s="4" t="s">
        <v>330</v>
      </c>
      <c r="B887" s="4" t="s">
        <v>230</v>
      </c>
      <c r="C887" s="6" t="n">
        <v>46.324</v>
      </c>
      <c r="D887" s="17" t="s">
        <v>455</v>
      </c>
      <c r="E887" s="18" t="s">
        <v>586</v>
      </c>
    </row>
    <row r="888" customFormat="false" ht="15" hidden="false" customHeight="true" outlineLevel="0" collapsed="false">
      <c r="A888" s="4" t="s">
        <v>330</v>
      </c>
      <c r="B888" s="4" t="s">
        <v>230</v>
      </c>
      <c r="C888" s="6" t="n">
        <v>46.328</v>
      </c>
      <c r="D888" s="4" t="s">
        <v>460</v>
      </c>
      <c r="E888" s="18" t="s">
        <v>471</v>
      </c>
    </row>
    <row r="889" customFormat="false" ht="15" hidden="false" customHeight="true" outlineLevel="0" collapsed="false">
      <c r="A889" s="4" t="s">
        <v>330</v>
      </c>
      <c r="B889" s="4" t="s">
        <v>230</v>
      </c>
      <c r="C889" s="6" t="n">
        <v>46.339</v>
      </c>
      <c r="D889" s="4" t="s">
        <v>456</v>
      </c>
      <c r="E889" s="18" t="s">
        <v>472</v>
      </c>
    </row>
    <row r="890" customFormat="false" ht="15" hidden="false" customHeight="true" outlineLevel="0" collapsed="false">
      <c r="A890" s="4" t="s">
        <v>330</v>
      </c>
      <c r="B890" s="4" t="s">
        <v>230</v>
      </c>
      <c r="C890" s="6" t="n">
        <v>51.74</v>
      </c>
      <c r="D890" s="4" t="s">
        <v>456</v>
      </c>
      <c r="E890" s="18" t="s">
        <v>473</v>
      </c>
    </row>
    <row r="891" customFormat="false" ht="15" hidden="false" customHeight="true" outlineLevel="0" collapsed="false">
      <c r="A891" s="4" t="s">
        <v>334</v>
      </c>
      <c r="B891" s="4" t="s">
        <v>230</v>
      </c>
      <c r="C891" s="6" t="n">
        <v>6.132</v>
      </c>
      <c r="D891" s="17" t="s">
        <v>455</v>
      </c>
      <c r="E891" s="18" t="s">
        <v>335</v>
      </c>
    </row>
    <row r="892" customFormat="false" ht="15" hidden="false" customHeight="true" outlineLevel="0" collapsed="false">
      <c r="A892" s="4" t="s">
        <v>334</v>
      </c>
      <c r="B892" s="4" t="s">
        <v>230</v>
      </c>
      <c r="C892" s="6" t="n">
        <v>7.057</v>
      </c>
      <c r="D892" s="4" t="s">
        <v>456</v>
      </c>
      <c r="E892" s="18" t="s">
        <v>753</v>
      </c>
    </row>
    <row r="893" customFormat="false" ht="15" hidden="false" customHeight="true" outlineLevel="0" collapsed="false">
      <c r="A893" s="4" t="s">
        <v>334</v>
      </c>
      <c r="B893" s="4" t="s">
        <v>230</v>
      </c>
      <c r="C893" s="6" t="n">
        <v>10.831</v>
      </c>
      <c r="D893" s="17" t="s">
        <v>455</v>
      </c>
      <c r="E893" s="18" t="s">
        <v>754</v>
      </c>
    </row>
    <row r="894" customFormat="false" ht="15" hidden="false" customHeight="true" outlineLevel="0" collapsed="false">
      <c r="A894" s="4" t="s">
        <v>334</v>
      </c>
      <c r="B894" s="4" t="s">
        <v>230</v>
      </c>
      <c r="C894" s="6" t="n">
        <v>11.92</v>
      </c>
      <c r="D894" s="4" t="s">
        <v>460</v>
      </c>
      <c r="E894" s="18" t="s">
        <v>553</v>
      </c>
    </row>
    <row r="895" customFormat="false" ht="15" hidden="false" customHeight="true" outlineLevel="0" collapsed="false">
      <c r="A895" s="4" t="s">
        <v>334</v>
      </c>
      <c r="B895" s="4" t="s">
        <v>230</v>
      </c>
      <c r="C895" s="6" t="n">
        <v>11.976</v>
      </c>
      <c r="D895" s="4" t="s">
        <v>460</v>
      </c>
      <c r="E895" s="18" t="s">
        <v>471</v>
      </c>
    </row>
    <row r="896" customFormat="false" ht="15" hidden="false" customHeight="true" outlineLevel="0" collapsed="false">
      <c r="A896" s="4" t="s">
        <v>334</v>
      </c>
      <c r="B896" s="4" t="s">
        <v>230</v>
      </c>
      <c r="C896" s="6" t="n">
        <v>13.043</v>
      </c>
      <c r="D896" s="4" t="s">
        <v>456</v>
      </c>
      <c r="E896" s="18" t="s">
        <v>555</v>
      </c>
    </row>
    <row r="897" customFormat="false" ht="15" hidden="false" customHeight="true" outlineLevel="0" collapsed="false">
      <c r="A897" s="4" t="s">
        <v>334</v>
      </c>
      <c r="B897" s="4" t="s">
        <v>230</v>
      </c>
      <c r="C897" s="6" t="n">
        <v>14.952</v>
      </c>
      <c r="D897" s="4" t="s">
        <v>456</v>
      </c>
      <c r="E897" s="18" t="s">
        <v>472</v>
      </c>
    </row>
    <row r="898" customFormat="false" ht="15" hidden="false" customHeight="true" outlineLevel="0" collapsed="false">
      <c r="A898" s="4" t="s">
        <v>334</v>
      </c>
      <c r="B898" s="4" t="s">
        <v>230</v>
      </c>
      <c r="C898" s="6" t="n">
        <v>28.02</v>
      </c>
      <c r="D898" s="17" t="s">
        <v>455</v>
      </c>
      <c r="E898" s="18" t="s">
        <v>755</v>
      </c>
    </row>
    <row r="899" customFormat="false" ht="15" hidden="false" customHeight="true" outlineLevel="0" collapsed="false">
      <c r="A899" s="4" t="s">
        <v>334</v>
      </c>
      <c r="B899" s="4" t="s">
        <v>230</v>
      </c>
      <c r="C899" s="6" t="n">
        <v>28.962</v>
      </c>
      <c r="D899" s="4" t="s">
        <v>460</v>
      </c>
      <c r="E899" s="18" t="s">
        <v>71</v>
      </c>
    </row>
    <row r="900" customFormat="false" ht="15" hidden="false" customHeight="true" outlineLevel="0" collapsed="false">
      <c r="A900" s="4" t="s">
        <v>334</v>
      </c>
      <c r="B900" s="4" t="s">
        <v>230</v>
      </c>
      <c r="C900" s="6" t="n">
        <v>29.671</v>
      </c>
      <c r="D900" s="4" t="s">
        <v>456</v>
      </c>
      <c r="E900" s="18" t="s">
        <v>482</v>
      </c>
    </row>
    <row r="901" customFormat="false" ht="15" hidden="false" customHeight="true" outlineLevel="0" collapsed="false">
      <c r="A901" s="4" t="s">
        <v>334</v>
      </c>
      <c r="B901" s="4" t="s">
        <v>230</v>
      </c>
      <c r="C901" s="6" t="n">
        <v>38.397</v>
      </c>
      <c r="D901" s="17" t="s">
        <v>455</v>
      </c>
      <c r="E901" s="18" t="s">
        <v>756</v>
      </c>
    </row>
    <row r="902" customFormat="false" ht="15" hidden="false" customHeight="true" outlineLevel="0" collapsed="false">
      <c r="A902" s="4" t="s">
        <v>334</v>
      </c>
      <c r="B902" s="4" t="s">
        <v>230</v>
      </c>
      <c r="C902" s="6" t="n">
        <v>39.501</v>
      </c>
      <c r="D902" s="4" t="s">
        <v>460</v>
      </c>
      <c r="E902" s="18" t="s">
        <v>552</v>
      </c>
    </row>
    <row r="903" customFormat="false" ht="15" hidden="false" customHeight="true" outlineLevel="0" collapsed="false">
      <c r="A903" s="4" t="s">
        <v>334</v>
      </c>
      <c r="B903" s="4" t="s">
        <v>230</v>
      </c>
      <c r="C903" s="6" t="n">
        <v>40.287</v>
      </c>
      <c r="D903" s="4" t="s">
        <v>456</v>
      </c>
      <c r="E903" s="18" t="s">
        <v>559</v>
      </c>
    </row>
    <row r="904" customFormat="false" ht="15" hidden="false" customHeight="true" outlineLevel="0" collapsed="false">
      <c r="A904" s="4" t="s">
        <v>334</v>
      </c>
      <c r="B904" s="4" t="s">
        <v>230</v>
      </c>
      <c r="C904" s="6" t="n">
        <v>45.877</v>
      </c>
      <c r="D904" s="17" t="s">
        <v>455</v>
      </c>
      <c r="E904" s="18" t="s">
        <v>757</v>
      </c>
    </row>
    <row r="905" customFormat="false" ht="15" hidden="false" customHeight="true" outlineLevel="0" collapsed="false">
      <c r="A905" s="4" t="s">
        <v>334</v>
      </c>
      <c r="B905" s="4" t="s">
        <v>230</v>
      </c>
      <c r="C905" s="6" t="n">
        <v>45.881</v>
      </c>
      <c r="D905" s="4" t="s">
        <v>460</v>
      </c>
      <c r="E905" s="18" t="s">
        <v>471</v>
      </c>
    </row>
    <row r="906" customFormat="false" ht="15" hidden="false" customHeight="true" outlineLevel="0" collapsed="false">
      <c r="A906" s="4" t="s">
        <v>334</v>
      </c>
      <c r="B906" s="4" t="s">
        <v>230</v>
      </c>
      <c r="C906" s="6" t="n">
        <v>45.897</v>
      </c>
      <c r="D906" s="4" t="s">
        <v>456</v>
      </c>
      <c r="E906" s="18" t="s">
        <v>472</v>
      </c>
    </row>
    <row r="907" customFormat="false" ht="15" hidden="false" customHeight="true" outlineLevel="0" collapsed="false">
      <c r="A907" s="4" t="s">
        <v>337</v>
      </c>
      <c r="B907" s="4" t="s">
        <v>230</v>
      </c>
      <c r="C907" s="6" t="n">
        <v>9.303</v>
      </c>
      <c r="D907" s="17" t="s">
        <v>455</v>
      </c>
      <c r="E907" s="18" t="s">
        <v>338</v>
      </c>
    </row>
    <row r="908" customFormat="false" ht="15" hidden="false" customHeight="true" outlineLevel="0" collapsed="false">
      <c r="A908" s="4" t="s">
        <v>337</v>
      </c>
      <c r="B908" s="4" t="s">
        <v>230</v>
      </c>
      <c r="C908" s="6" t="n">
        <v>10.09</v>
      </c>
      <c r="D908" s="4" t="s">
        <v>456</v>
      </c>
      <c r="E908" s="18" t="s">
        <v>758</v>
      </c>
    </row>
    <row r="909" customFormat="false" ht="15" hidden="false" customHeight="true" outlineLevel="0" collapsed="false">
      <c r="A909" s="4" t="s">
        <v>340</v>
      </c>
      <c r="B909" s="4" t="s">
        <v>230</v>
      </c>
      <c r="C909" s="6" t="n">
        <v>4.107</v>
      </c>
      <c r="D909" s="17" t="s">
        <v>455</v>
      </c>
      <c r="E909" s="18" t="s">
        <v>341</v>
      </c>
    </row>
    <row r="910" customFormat="false" ht="15" hidden="false" customHeight="true" outlineLevel="0" collapsed="false">
      <c r="A910" s="4" t="s">
        <v>340</v>
      </c>
      <c r="B910" s="4" t="s">
        <v>230</v>
      </c>
      <c r="C910" s="6" t="n">
        <v>4.112</v>
      </c>
      <c r="D910" s="4" t="s">
        <v>460</v>
      </c>
      <c r="E910" s="18" t="s">
        <v>461</v>
      </c>
    </row>
    <row r="911" customFormat="false" ht="15" hidden="false" customHeight="true" outlineLevel="0" collapsed="false">
      <c r="A911" s="4" t="s">
        <v>340</v>
      </c>
      <c r="B911" s="4" t="s">
        <v>230</v>
      </c>
      <c r="C911" s="6" t="n">
        <v>9.218</v>
      </c>
      <c r="D911" s="4" t="s">
        <v>456</v>
      </c>
      <c r="E911" s="18" t="s">
        <v>759</v>
      </c>
    </row>
    <row r="912" customFormat="false" ht="15" hidden="false" customHeight="true" outlineLevel="0" collapsed="false">
      <c r="A912" s="4" t="s">
        <v>343</v>
      </c>
      <c r="B912" s="4" t="s">
        <v>230</v>
      </c>
      <c r="C912" s="6" t="n">
        <v>3.607</v>
      </c>
      <c r="D912" s="17" t="s">
        <v>455</v>
      </c>
      <c r="E912" s="18" t="s">
        <v>344</v>
      </c>
    </row>
    <row r="913" customFormat="false" ht="15" hidden="false" customHeight="true" outlineLevel="0" collapsed="false">
      <c r="A913" s="4" t="s">
        <v>343</v>
      </c>
      <c r="B913" s="4" t="s">
        <v>230</v>
      </c>
      <c r="C913" s="6" t="n">
        <v>3.61</v>
      </c>
      <c r="D913" s="4" t="s">
        <v>460</v>
      </c>
      <c r="E913" s="18" t="s">
        <v>493</v>
      </c>
    </row>
    <row r="914" customFormat="false" ht="15" hidden="false" customHeight="true" outlineLevel="0" collapsed="false">
      <c r="A914" s="4" t="s">
        <v>343</v>
      </c>
      <c r="B914" s="4" t="s">
        <v>230</v>
      </c>
      <c r="C914" s="6" t="n">
        <v>4.464</v>
      </c>
      <c r="D914" s="4" t="s">
        <v>456</v>
      </c>
      <c r="E914" s="18" t="s">
        <v>494</v>
      </c>
    </row>
    <row r="915" customFormat="false" ht="15" hidden="false" customHeight="true" outlineLevel="0" collapsed="false">
      <c r="A915" s="4" t="s">
        <v>343</v>
      </c>
      <c r="B915" s="4" t="s">
        <v>230</v>
      </c>
      <c r="C915" s="6" t="n">
        <v>11.075</v>
      </c>
      <c r="D915" s="4" t="s">
        <v>456</v>
      </c>
      <c r="E915" s="18" t="s">
        <v>495</v>
      </c>
    </row>
    <row r="916" customFormat="false" ht="15" hidden="false" customHeight="true" outlineLevel="0" collapsed="false">
      <c r="A916" s="4" t="s">
        <v>343</v>
      </c>
      <c r="B916" s="4" t="s">
        <v>230</v>
      </c>
      <c r="C916" s="6" t="n">
        <v>17.598</v>
      </c>
      <c r="D916" s="17" t="s">
        <v>455</v>
      </c>
      <c r="E916" s="18" t="s">
        <v>481</v>
      </c>
    </row>
    <row r="917" customFormat="false" ht="15" hidden="false" customHeight="true" outlineLevel="0" collapsed="false">
      <c r="A917" s="4" t="s">
        <v>343</v>
      </c>
      <c r="B917" s="4" t="s">
        <v>230</v>
      </c>
      <c r="C917" s="6" t="n">
        <v>17.612</v>
      </c>
      <c r="D917" s="4" t="s">
        <v>460</v>
      </c>
      <c r="E917" s="18" t="s">
        <v>71</v>
      </c>
    </row>
    <row r="918" customFormat="false" ht="15" hidden="false" customHeight="true" outlineLevel="0" collapsed="false">
      <c r="A918" s="4" t="s">
        <v>343</v>
      </c>
      <c r="B918" s="4" t="s">
        <v>230</v>
      </c>
      <c r="C918" s="6" t="n">
        <v>17.666</v>
      </c>
      <c r="D918" s="4" t="s">
        <v>456</v>
      </c>
      <c r="E918" s="18" t="s">
        <v>482</v>
      </c>
    </row>
    <row r="919" customFormat="false" ht="15" hidden="false" customHeight="true" outlineLevel="0" collapsed="false">
      <c r="A919" s="4" t="s">
        <v>343</v>
      </c>
      <c r="B919" s="4" t="s">
        <v>230</v>
      </c>
      <c r="C919" s="6" t="n">
        <v>24.747</v>
      </c>
      <c r="D919" s="4" t="s">
        <v>456</v>
      </c>
      <c r="E919" s="18" t="s">
        <v>501</v>
      </c>
    </row>
    <row r="920" customFormat="false" ht="15" hidden="false" customHeight="true" outlineLevel="0" collapsed="false">
      <c r="A920" s="4" t="s">
        <v>343</v>
      </c>
      <c r="B920" s="4" t="s">
        <v>230</v>
      </c>
      <c r="C920" s="6" t="n">
        <v>33.19</v>
      </c>
      <c r="D920" s="17" t="s">
        <v>455</v>
      </c>
      <c r="E920" s="18" t="s">
        <v>760</v>
      </c>
    </row>
    <row r="921" customFormat="false" ht="15" hidden="false" customHeight="true" outlineLevel="0" collapsed="false">
      <c r="A921" s="4" t="s">
        <v>343</v>
      </c>
      <c r="B921" s="4" t="s">
        <v>230</v>
      </c>
      <c r="C921" s="6" t="n">
        <v>33.195</v>
      </c>
      <c r="D921" s="4" t="s">
        <v>460</v>
      </c>
      <c r="E921" s="18" t="s">
        <v>503</v>
      </c>
    </row>
    <row r="922" customFormat="false" ht="15" hidden="false" customHeight="true" outlineLevel="0" collapsed="false">
      <c r="A922" s="4" t="s">
        <v>343</v>
      </c>
      <c r="B922" s="4" t="s">
        <v>230</v>
      </c>
      <c r="C922" s="6" t="n">
        <v>33.257</v>
      </c>
      <c r="D922" s="4" t="s">
        <v>456</v>
      </c>
      <c r="E922" s="18" t="s">
        <v>468</v>
      </c>
    </row>
    <row r="923" customFormat="false" ht="15" hidden="false" customHeight="true" outlineLevel="0" collapsed="false">
      <c r="A923" s="4" t="s">
        <v>343</v>
      </c>
      <c r="B923" s="4" t="s">
        <v>230</v>
      </c>
      <c r="C923" s="6" t="n">
        <v>40.13</v>
      </c>
      <c r="D923" s="4" t="s">
        <v>456</v>
      </c>
      <c r="E923" s="18" t="s">
        <v>473</v>
      </c>
    </row>
    <row r="924" customFormat="false" ht="15" hidden="false" customHeight="true" outlineLevel="0" collapsed="false">
      <c r="A924" s="4" t="s">
        <v>346</v>
      </c>
      <c r="B924" s="4" t="s">
        <v>230</v>
      </c>
      <c r="C924" s="6" t="n">
        <v>5.468</v>
      </c>
      <c r="D924" s="17" t="s">
        <v>455</v>
      </c>
      <c r="E924" s="18" t="s">
        <v>347</v>
      </c>
    </row>
    <row r="925" customFormat="false" ht="15" hidden="false" customHeight="true" outlineLevel="0" collapsed="false">
      <c r="A925" s="4" t="s">
        <v>346</v>
      </c>
      <c r="B925" s="4" t="s">
        <v>230</v>
      </c>
      <c r="C925" s="6" t="n">
        <v>5.472</v>
      </c>
      <c r="D925" s="4" t="s">
        <v>460</v>
      </c>
      <c r="E925" s="18" t="s">
        <v>595</v>
      </c>
    </row>
    <row r="926" customFormat="false" ht="15" hidden="false" customHeight="true" outlineLevel="0" collapsed="false">
      <c r="A926" s="4" t="s">
        <v>346</v>
      </c>
      <c r="B926" s="4" t="s">
        <v>230</v>
      </c>
      <c r="C926" s="6" t="n">
        <v>6.238</v>
      </c>
      <c r="D926" s="4" t="s">
        <v>456</v>
      </c>
      <c r="E926" s="18" t="s">
        <v>479</v>
      </c>
    </row>
    <row r="927" customFormat="false" ht="15" hidden="false" customHeight="true" outlineLevel="0" collapsed="false">
      <c r="A927" s="4" t="s">
        <v>346</v>
      </c>
      <c r="B927" s="4" t="s">
        <v>230</v>
      </c>
      <c r="C927" s="6" t="n">
        <v>10.856</v>
      </c>
      <c r="D927" s="4" t="s">
        <v>456</v>
      </c>
      <c r="E927" s="18" t="s">
        <v>480</v>
      </c>
    </row>
    <row r="928" customFormat="false" ht="15" hidden="false" customHeight="true" outlineLevel="0" collapsed="false">
      <c r="A928" s="4" t="s">
        <v>346</v>
      </c>
      <c r="B928" s="4" t="s">
        <v>230</v>
      </c>
      <c r="C928" s="6" t="n">
        <v>18.777</v>
      </c>
      <c r="D928" s="17" t="s">
        <v>455</v>
      </c>
      <c r="E928" s="18" t="s">
        <v>761</v>
      </c>
    </row>
    <row r="929" customFormat="false" ht="15" hidden="false" customHeight="true" outlineLevel="0" collapsed="false">
      <c r="A929" s="4" t="s">
        <v>346</v>
      </c>
      <c r="B929" s="4" t="s">
        <v>230</v>
      </c>
      <c r="C929" s="6" t="n">
        <v>19.594</v>
      </c>
      <c r="D929" s="4" t="s">
        <v>456</v>
      </c>
      <c r="E929" s="18" t="s">
        <v>518</v>
      </c>
    </row>
    <row r="930" customFormat="false" ht="15" hidden="false" customHeight="true" outlineLevel="0" collapsed="false">
      <c r="A930" s="4" t="s">
        <v>346</v>
      </c>
      <c r="B930" s="4" t="s">
        <v>230</v>
      </c>
      <c r="C930" s="6" t="n">
        <v>20.151</v>
      </c>
      <c r="D930" s="17" t="s">
        <v>455</v>
      </c>
      <c r="E930" s="18" t="s">
        <v>712</v>
      </c>
    </row>
    <row r="931" customFormat="false" ht="15" hidden="false" customHeight="true" outlineLevel="0" collapsed="false">
      <c r="A931" s="4" t="s">
        <v>346</v>
      </c>
      <c r="B931" s="4" t="s">
        <v>230</v>
      </c>
      <c r="C931" s="6" t="n">
        <v>20.163</v>
      </c>
      <c r="D931" s="4" t="s">
        <v>460</v>
      </c>
      <c r="E931" s="18" t="s">
        <v>71</v>
      </c>
    </row>
    <row r="932" customFormat="false" ht="15" hidden="false" customHeight="true" outlineLevel="0" collapsed="false">
      <c r="A932" s="4" t="s">
        <v>346</v>
      </c>
      <c r="B932" s="4" t="s">
        <v>230</v>
      </c>
      <c r="C932" s="6" t="n">
        <v>20.263</v>
      </c>
      <c r="D932" s="4" t="s">
        <v>456</v>
      </c>
      <c r="E932" s="18" t="s">
        <v>482</v>
      </c>
    </row>
    <row r="933" customFormat="false" ht="15" hidden="false" customHeight="true" outlineLevel="0" collapsed="false">
      <c r="A933" s="4" t="s">
        <v>346</v>
      </c>
      <c r="B933" s="4" t="s">
        <v>230</v>
      </c>
      <c r="C933" s="6" t="n">
        <v>29.133</v>
      </c>
      <c r="D933" s="4" t="s">
        <v>456</v>
      </c>
      <c r="E933" s="18" t="s">
        <v>483</v>
      </c>
    </row>
    <row r="934" customFormat="false" ht="15" hidden="false" customHeight="true" outlineLevel="0" collapsed="false">
      <c r="A934" s="4" t="s">
        <v>346</v>
      </c>
      <c r="B934" s="4" t="s">
        <v>230</v>
      </c>
      <c r="C934" s="6" t="n">
        <v>33.525</v>
      </c>
      <c r="D934" s="17" t="s">
        <v>455</v>
      </c>
      <c r="E934" s="18" t="s">
        <v>762</v>
      </c>
    </row>
    <row r="935" customFormat="false" ht="15" hidden="false" customHeight="true" outlineLevel="0" collapsed="false">
      <c r="A935" s="4" t="s">
        <v>346</v>
      </c>
      <c r="B935" s="4" t="s">
        <v>230</v>
      </c>
      <c r="C935" s="6" t="n">
        <v>34.388</v>
      </c>
      <c r="D935" s="4" t="s">
        <v>456</v>
      </c>
      <c r="E935" s="18" t="s">
        <v>763</v>
      </c>
    </row>
    <row r="936" customFormat="false" ht="15" hidden="false" customHeight="true" outlineLevel="0" collapsed="false">
      <c r="A936" s="4" t="s">
        <v>346</v>
      </c>
      <c r="B936" s="4" t="s">
        <v>230</v>
      </c>
      <c r="C936" s="6" t="n">
        <v>35.427</v>
      </c>
      <c r="D936" s="17" t="s">
        <v>455</v>
      </c>
      <c r="E936" s="18" t="s">
        <v>764</v>
      </c>
    </row>
    <row r="937" customFormat="false" ht="15" hidden="false" customHeight="true" outlineLevel="0" collapsed="false">
      <c r="A937" s="4" t="s">
        <v>346</v>
      </c>
      <c r="B937" s="4" t="s">
        <v>230</v>
      </c>
      <c r="C937" s="6" t="n">
        <v>35.443</v>
      </c>
      <c r="D937" s="4" t="s">
        <v>460</v>
      </c>
      <c r="E937" s="18" t="s">
        <v>57</v>
      </c>
    </row>
    <row r="938" customFormat="false" ht="15" hidden="false" customHeight="true" outlineLevel="0" collapsed="false">
      <c r="A938" s="4" t="s">
        <v>346</v>
      </c>
      <c r="B938" s="4" t="s">
        <v>230</v>
      </c>
      <c r="C938" s="6" t="n">
        <v>35.828</v>
      </c>
      <c r="D938" s="4" t="s">
        <v>456</v>
      </c>
      <c r="E938" s="18" t="s">
        <v>464</v>
      </c>
    </row>
    <row r="939" customFormat="false" ht="15" hidden="false" customHeight="true" outlineLevel="0" collapsed="false">
      <c r="A939" s="4" t="s">
        <v>346</v>
      </c>
      <c r="B939" s="4" t="s">
        <v>230</v>
      </c>
      <c r="C939" s="6" t="n">
        <v>42.545</v>
      </c>
      <c r="D939" s="4" t="s">
        <v>456</v>
      </c>
      <c r="E939" s="18" t="s">
        <v>485</v>
      </c>
    </row>
    <row r="940" customFormat="false" ht="15" hidden="false" customHeight="true" outlineLevel="0" collapsed="false">
      <c r="A940" s="4" t="s">
        <v>346</v>
      </c>
      <c r="B940" s="4" t="s">
        <v>230</v>
      </c>
      <c r="C940" s="6" t="n">
        <v>54.637</v>
      </c>
      <c r="D940" s="17" t="s">
        <v>455</v>
      </c>
      <c r="E940" s="18" t="s">
        <v>547</v>
      </c>
    </row>
    <row r="941" customFormat="false" ht="15" hidden="false" customHeight="true" outlineLevel="0" collapsed="false">
      <c r="A941" s="4" t="s">
        <v>346</v>
      </c>
      <c r="B941" s="4" t="s">
        <v>230</v>
      </c>
      <c r="C941" s="6" t="n">
        <v>54.642</v>
      </c>
      <c r="D941" s="4" t="s">
        <v>460</v>
      </c>
      <c r="E941" s="18" t="s">
        <v>503</v>
      </c>
    </row>
    <row r="942" customFormat="false" ht="15" hidden="false" customHeight="true" outlineLevel="0" collapsed="false">
      <c r="A942" s="4" t="s">
        <v>346</v>
      </c>
      <c r="B942" s="4" t="s">
        <v>230</v>
      </c>
      <c r="C942" s="6" t="n">
        <v>54.678</v>
      </c>
      <c r="D942" s="4" t="s">
        <v>456</v>
      </c>
      <c r="E942" s="18" t="s">
        <v>468</v>
      </c>
    </row>
    <row r="943" customFormat="false" ht="15" hidden="false" customHeight="true" outlineLevel="0" collapsed="false">
      <c r="A943" s="4" t="s">
        <v>346</v>
      </c>
      <c r="B943" s="4" t="s">
        <v>230</v>
      </c>
      <c r="C943" s="6" t="n">
        <v>62.732</v>
      </c>
      <c r="D943" s="4" t="s">
        <v>456</v>
      </c>
      <c r="E943" s="18" t="s">
        <v>473</v>
      </c>
    </row>
    <row r="944" customFormat="false" ht="15" hidden="false" customHeight="true" outlineLevel="0" collapsed="false">
      <c r="A944" s="4" t="s">
        <v>350</v>
      </c>
      <c r="B944" s="4" t="s">
        <v>230</v>
      </c>
      <c r="C944" s="6" t="n">
        <v>3.446</v>
      </c>
      <c r="D944" s="17" t="s">
        <v>455</v>
      </c>
      <c r="E944" s="18" t="s">
        <v>351</v>
      </c>
    </row>
    <row r="945" customFormat="false" ht="15" hidden="false" customHeight="true" outlineLevel="0" collapsed="false">
      <c r="A945" s="4" t="s">
        <v>350</v>
      </c>
      <c r="B945" s="4" t="s">
        <v>230</v>
      </c>
      <c r="C945" s="6" t="n">
        <v>4.37</v>
      </c>
      <c r="D945" s="4" t="s">
        <v>456</v>
      </c>
      <c r="E945" s="18" t="s">
        <v>765</v>
      </c>
    </row>
    <row r="946" customFormat="false" ht="15" hidden="false" customHeight="true" outlineLevel="0" collapsed="false">
      <c r="A946" s="4" t="s">
        <v>350</v>
      </c>
      <c r="B946" s="4" t="s">
        <v>230</v>
      </c>
      <c r="C946" s="6" t="n">
        <v>7.568</v>
      </c>
      <c r="D946" s="17" t="s">
        <v>455</v>
      </c>
      <c r="E946" s="18" t="s">
        <v>766</v>
      </c>
    </row>
    <row r="947" customFormat="false" ht="15" hidden="false" customHeight="true" outlineLevel="0" collapsed="false">
      <c r="A947" s="4" t="s">
        <v>350</v>
      </c>
      <c r="B947" s="4" t="s">
        <v>230</v>
      </c>
      <c r="C947" s="6" t="n">
        <v>8.761</v>
      </c>
      <c r="D947" s="4" t="s">
        <v>456</v>
      </c>
      <c r="E947" s="18" t="s">
        <v>767</v>
      </c>
    </row>
    <row r="948" customFormat="false" ht="15" hidden="false" customHeight="true" outlineLevel="0" collapsed="false">
      <c r="A948" s="4" t="s">
        <v>350</v>
      </c>
      <c r="B948" s="4" t="s">
        <v>230</v>
      </c>
      <c r="C948" s="6" t="n">
        <v>15.173</v>
      </c>
      <c r="D948" s="4" t="s">
        <v>456</v>
      </c>
      <c r="E948" s="18" t="s">
        <v>768</v>
      </c>
    </row>
    <row r="949" customFormat="false" ht="15" hidden="false" customHeight="true" outlineLevel="0" collapsed="false">
      <c r="A949" s="4" t="s">
        <v>350</v>
      </c>
      <c r="B949" s="4" t="s">
        <v>230</v>
      </c>
      <c r="C949" s="6" t="n">
        <v>18.123</v>
      </c>
      <c r="D949" s="4" t="s">
        <v>456</v>
      </c>
      <c r="E949" s="18" t="s">
        <v>579</v>
      </c>
    </row>
    <row r="950" customFormat="false" ht="15" hidden="false" customHeight="true" outlineLevel="0" collapsed="false">
      <c r="A950" s="4" t="s">
        <v>350</v>
      </c>
      <c r="B950" s="4" t="s">
        <v>230</v>
      </c>
      <c r="C950" s="6" t="n">
        <v>19.62</v>
      </c>
      <c r="D950" s="17" t="s">
        <v>455</v>
      </c>
      <c r="E950" s="18" t="s">
        <v>769</v>
      </c>
    </row>
    <row r="951" customFormat="false" ht="15" hidden="false" customHeight="true" outlineLevel="0" collapsed="false">
      <c r="A951" s="4" t="s">
        <v>350</v>
      </c>
      <c r="B951" s="4" t="s">
        <v>230</v>
      </c>
      <c r="C951" s="6" t="n">
        <v>19.624</v>
      </c>
      <c r="D951" s="4" t="s">
        <v>460</v>
      </c>
      <c r="E951" s="18" t="s">
        <v>549</v>
      </c>
    </row>
    <row r="952" customFormat="false" ht="15" hidden="false" customHeight="true" outlineLevel="0" collapsed="false">
      <c r="A952" s="4" t="s">
        <v>350</v>
      </c>
      <c r="B952" s="4" t="s">
        <v>230</v>
      </c>
      <c r="C952" s="6" t="n">
        <v>22.082</v>
      </c>
      <c r="D952" s="4" t="s">
        <v>456</v>
      </c>
      <c r="E952" s="18" t="s">
        <v>479</v>
      </c>
    </row>
    <row r="953" customFormat="false" ht="15" hidden="false" customHeight="true" outlineLevel="0" collapsed="false">
      <c r="A953" s="4" t="s">
        <v>350</v>
      </c>
      <c r="B953" s="4" t="s">
        <v>230</v>
      </c>
      <c r="C953" s="6" t="n">
        <v>25.166</v>
      </c>
      <c r="D953" s="4" t="s">
        <v>456</v>
      </c>
      <c r="E953" s="18" t="s">
        <v>480</v>
      </c>
    </row>
    <row r="954" customFormat="false" ht="15" hidden="false" customHeight="true" outlineLevel="0" collapsed="false">
      <c r="A954" s="4" t="s">
        <v>350</v>
      </c>
      <c r="B954" s="4" t="s">
        <v>230</v>
      </c>
      <c r="C954" s="6" t="n">
        <v>31.992</v>
      </c>
      <c r="D954" s="17" t="s">
        <v>455</v>
      </c>
      <c r="E954" s="18" t="s">
        <v>86</v>
      </c>
    </row>
    <row r="955" customFormat="false" ht="15" hidden="false" customHeight="true" outlineLevel="0" collapsed="false">
      <c r="A955" s="4" t="s">
        <v>350</v>
      </c>
      <c r="B955" s="4" t="s">
        <v>230</v>
      </c>
      <c r="C955" s="6" t="n">
        <v>31.995</v>
      </c>
      <c r="D955" s="4" t="s">
        <v>460</v>
      </c>
      <c r="E955" s="18" t="s">
        <v>57</v>
      </c>
    </row>
    <row r="956" customFormat="false" ht="15" hidden="false" customHeight="true" outlineLevel="0" collapsed="false">
      <c r="A956" s="4" t="s">
        <v>350</v>
      </c>
      <c r="B956" s="4" t="s">
        <v>230</v>
      </c>
      <c r="C956" s="6" t="n">
        <v>32.049</v>
      </c>
      <c r="D956" s="4" t="s">
        <v>456</v>
      </c>
      <c r="E956" s="18" t="s">
        <v>464</v>
      </c>
    </row>
    <row r="957" customFormat="false" ht="15" hidden="false" customHeight="true" outlineLevel="0" collapsed="false">
      <c r="A957" s="4" t="s">
        <v>350</v>
      </c>
      <c r="B957" s="4" t="s">
        <v>230</v>
      </c>
      <c r="C957" s="6" t="n">
        <v>37.5</v>
      </c>
      <c r="D957" s="4" t="s">
        <v>456</v>
      </c>
      <c r="E957" s="18" t="s">
        <v>485</v>
      </c>
    </row>
    <row r="958" customFormat="false" ht="15" hidden="false" customHeight="true" outlineLevel="0" collapsed="false">
      <c r="A958" s="4" t="s">
        <v>350</v>
      </c>
      <c r="B958" s="4" t="s">
        <v>230</v>
      </c>
      <c r="C958" s="6" t="n">
        <v>40.185</v>
      </c>
      <c r="D958" s="17" t="s">
        <v>455</v>
      </c>
      <c r="E958" s="18" t="s">
        <v>770</v>
      </c>
    </row>
    <row r="959" customFormat="false" ht="15" hidden="false" customHeight="true" outlineLevel="0" collapsed="false">
      <c r="A959" s="4" t="s">
        <v>350</v>
      </c>
      <c r="B959" s="4" t="s">
        <v>230</v>
      </c>
      <c r="C959" s="6" t="n">
        <v>41.517</v>
      </c>
      <c r="D959" s="17" t="s">
        <v>455</v>
      </c>
      <c r="E959" s="18" t="s">
        <v>771</v>
      </c>
    </row>
    <row r="960" customFormat="false" ht="15" hidden="false" customHeight="true" outlineLevel="0" collapsed="false">
      <c r="A960" s="4" t="s">
        <v>350</v>
      </c>
      <c r="B960" s="4" t="s">
        <v>230</v>
      </c>
      <c r="C960" s="6" t="n">
        <v>43.045</v>
      </c>
      <c r="D960" s="4" t="s">
        <v>456</v>
      </c>
      <c r="E960" s="18" t="s">
        <v>772</v>
      </c>
    </row>
    <row r="961" customFormat="false" ht="15" hidden="false" customHeight="true" outlineLevel="0" collapsed="false">
      <c r="A961" s="4" t="s">
        <v>350</v>
      </c>
      <c r="B961" s="4" t="s">
        <v>230</v>
      </c>
      <c r="C961" s="6" t="n">
        <v>50.834</v>
      </c>
      <c r="D961" s="17" t="s">
        <v>455</v>
      </c>
      <c r="E961" s="18" t="s">
        <v>773</v>
      </c>
    </row>
    <row r="962" customFormat="false" ht="15" hidden="false" customHeight="true" outlineLevel="0" collapsed="false">
      <c r="A962" s="4" t="s">
        <v>350</v>
      </c>
      <c r="B962" s="4" t="s">
        <v>230</v>
      </c>
      <c r="C962" s="6" t="n">
        <v>51.911</v>
      </c>
      <c r="D962" s="4" t="s">
        <v>460</v>
      </c>
      <c r="E962" s="18" t="s">
        <v>503</v>
      </c>
    </row>
    <row r="963" customFormat="false" ht="15" hidden="false" customHeight="true" outlineLevel="0" collapsed="false">
      <c r="A963" s="4" t="s">
        <v>350</v>
      </c>
      <c r="B963" s="4" t="s">
        <v>230</v>
      </c>
      <c r="C963" s="6" t="n">
        <v>51.954</v>
      </c>
      <c r="D963" s="4" t="s">
        <v>456</v>
      </c>
      <c r="E963" s="18" t="s">
        <v>468</v>
      </c>
    </row>
    <row r="964" customFormat="false" ht="15" hidden="false" customHeight="true" outlineLevel="0" collapsed="false">
      <c r="A964" s="4" t="s">
        <v>350</v>
      </c>
      <c r="B964" s="4" t="s">
        <v>230</v>
      </c>
      <c r="C964" s="6" t="n">
        <v>59.901</v>
      </c>
      <c r="D964" s="4" t="s">
        <v>456</v>
      </c>
      <c r="E964" s="18" t="s">
        <v>473</v>
      </c>
    </row>
    <row r="965" customFormat="false" ht="15" hidden="false" customHeight="true" outlineLevel="0" collapsed="false">
      <c r="A965" s="4" t="s">
        <v>355</v>
      </c>
      <c r="B965" s="4" t="s">
        <v>230</v>
      </c>
      <c r="C965" s="6" t="n">
        <v>6.325</v>
      </c>
      <c r="D965" s="17" t="s">
        <v>455</v>
      </c>
      <c r="E965" s="18" t="s">
        <v>356</v>
      </c>
    </row>
    <row r="966" customFormat="false" ht="15" hidden="false" customHeight="true" outlineLevel="0" collapsed="false">
      <c r="A966" s="4" t="s">
        <v>355</v>
      </c>
      <c r="B966" s="4" t="s">
        <v>230</v>
      </c>
      <c r="C966" s="6" t="n">
        <v>6.336</v>
      </c>
      <c r="D966" s="4" t="s">
        <v>456</v>
      </c>
      <c r="E966" s="18" t="s">
        <v>698</v>
      </c>
    </row>
    <row r="967" customFormat="false" ht="15" hidden="false" customHeight="true" outlineLevel="0" collapsed="false">
      <c r="A967" s="4" t="s">
        <v>355</v>
      </c>
      <c r="B967" s="4" t="s">
        <v>230</v>
      </c>
      <c r="C967" s="6" t="n">
        <v>10.289</v>
      </c>
      <c r="D967" s="4" t="s">
        <v>456</v>
      </c>
      <c r="E967" s="18" t="s">
        <v>699</v>
      </c>
    </row>
    <row r="968" customFormat="false" ht="15" hidden="false" customHeight="true" outlineLevel="0" collapsed="false">
      <c r="A968" s="4" t="s">
        <v>355</v>
      </c>
      <c r="B968" s="4" t="s">
        <v>230</v>
      </c>
      <c r="C968" s="6" t="n">
        <v>15.339</v>
      </c>
      <c r="D968" s="17" t="s">
        <v>455</v>
      </c>
      <c r="E968" s="18" t="s">
        <v>516</v>
      </c>
    </row>
    <row r="969" customFormat="false" ht="15" hidden="false" customHeight="true" outlineLevel="0" collapsed="false">
      <c r="A969" s="4" t="s">
        <v>355</v>
      </c>
      <c r="B969" s="4" t="s">
        <v>230</v>
      </c>
      <c r="C969" s="6" t="n">
        <v>15.343</v>
      </c>
      <c r="D969" s="4" t="s">
        <v>460</v>
      </c>
      <c r="E969" s="18" t="s">
        <v>549</v>
      </c>
    </row>
    <row r="970" customFormat="false" ht="15" hidden="false" customHeight="true" outlineLevel="0" collapsed="false">
      <c r="A970" s="4" t="s">
        <v>355</v>
      </c>
      <c r="B970" s="4" t="s">
        <v>230</v>
      </c>
      <c r="C970" s="6" t="n">
        <v>16.042</v>
      </c>
      <c r="D970" s="4" t="s">
        <v>456</v>
      </c>
      <c r="E970" s="18" t="s">
        <v>627</v>
      </c>
    </row>
    <row r="971" customFormat="false" ht="15" hidden="false" customHeight="true" outlineLevel="0" collapsed="false">
      <c r="A971" s="4" t="s">
        <v>355</v>
      </c>
      <c r="B971" s="4" t="s">
        <v>230</v>
      </c>
      <c r="C971" s="6" t="n">
        <v>22.675</v>
      </c>
      <c r="D971" s="4" t="s">
        <v>456</v>
      </c>
      <c r="E971" s="18" t="s">
        <v>628</v>
      </c>
    </row>
    <row r="972" customFormat="false" ht="15" hidden="false" customHeight="true" outlineLevel="0" collapsed="false">
      <c r="A972" s="4" t="s">
        <v>355</v>
      </c>
      <c r="B972" s="4" t="s">
        <v>230</v>
      </c>
      <c r="C972" s="6" t="n">
        <v>30.805</v>
      </c>
      <c r="D972" s="17" t="s">
        <v>455</v>
      </c>
      <c r="E972" s="18" t="s">
        <v>496</v>
      </c>
    </row>
    <row r="973" customFormat="false" ht="15" hidden="false" customHeight="true" outlineLevel="0" collapsed="false">
      <c r="A973" s="4" t="s">
        <v>355</v>
      </c>
      <c r="B973" s="4" t="s">
        <v>230</v>
      </c>
      <c r="C973" s="6" t="n">
        <v>30.818</v>
      </c>
      <c r="D973" s="4" t="s">
        <v>460</v>
      </c>
      <c r="E973" s="18" t="s">
        <v>471</v>
      </c>
    </row>
    <row r="974" customFormat="false" ht="15" hidden="false" customHeight="true" outlineLevel="0" collapsed="false">
      <c r="A974" s="4" t="s">
        <v>355</v>
      </c>
      <c r="B974" s="4" t="s">
        <v>230</v>
      </c>
      <c r="C974" s="6" t="n">
        <v>30.882</v>
      </c>
      <c r="D974" s="4" t="s">
        <v>456</v>
      </c>
      <c r="E974" s="18" t="s">
        <v>472</v>
      </c>
    </row>
    <row r="975" customFormat="false" ht="15" hidden="false" customHeight="true" outlineLevel="0" collapsed="false">
      <c r="A975" s="4" t="s">
        <v>355</v>
      </c>
      <c r="B975" s="4" t="s">
        <v>230</v>
      </c>
      <c r="C975" s="6" t="n">
        <v>37.061</v>
      </c>
      <c r="D975" s="4" t="s">
        <v>456</v>
      </c>
      <c r="E975" s="18" t="s">
        <v>735</v>
      </c>
    </row>
    <row r="976" customFormat="false" ht="15" hidden="false" customHeight="true" outlineLevel="0" collapsed="false">
      <c r="A976" s="4" t="s">
        <v>355</v>
      </c>
      <c r="B976" s="4" t="s">
        <v>230</v>
      </c>
      <c r="C976" s="6" t="n">
        <v>38.245</v>
      </c>
      <c r="D976" s="17" t="s">
        <v>455</v>
      </c>
      <c r="E976" s="18" t="s">
        <v>774</v>
      </c>
    </row>
    <row r="977" customFormat="false" ht="15" hidden="false" customHeight="true" outlineLevel="0" collapsed="false">
      <c r="A977" s="4" t="s">
        <v>355</v>
      </c>
      <c r="B977" s="4" t="s">
        <v>230</v>
      </c>
      <c r="C977" s="6" t="n">
        <v>42.614</v>
      </c>
      <c r="D977" s="4" t="s">
        <v>456</v>
      </c>
      <c r="E977" s="18" t="s">
        <v>648</v>
      </c>
    </row>
    <row r="978" customFormat="false" ht="15" hidden="false" customHeight="true" outlineLevel="0" collapsed="false">
      <c r="A978" s="4" t="s">
        <v>355</v>
      </c>
      <c r="B978" s="4" t="s">
        <v>230</v>
      </c>
      <c r="C978" s="6" t="n">
        <v>47.854</v>
      </c>
      <c r="D978" s="17" t="s">
        <v>455</v>
      </c>
      <c r="E978" s="18" t="s">
        <v>775</v>
      </c>
    </row>
    <row r="979" customFormat="false" ht="15" hidden="false" customHeight="true" outlineLevel="0" collapsed="false">
      <c r="A979" s="4" t="s">
        <v>355</v>
      </c>
      <c r="B979" s="4" t="s">
        <v>230</v>
      </c>
      <c r="C979" s="6" t="n">
        <v>48.94</v>
      </c>
      <c r="D979" s="4" t="s">
        <v>460</v>
      </c>
      <c r="E979" s="18" t="s">
        <v>71</v>
      </c>
    </row>
    <row r="980" customFormat="false" ht="15" hidden="false" customHeight="true" outlineLevel="0" collapsed="false">
      <c r="A980" s="4" t="s">
        <v>355</v>
      </c>
      <c r="B980" s="4" t="s">
        <v>230</v>
      </c>
      <c r="C980" s="6" t="n">
        <v>48.99</v>
      </c>
      <c r="D980" s="4" t="s">
        <v>456</v>
      </c>
      <c r="E980" s="18" t="s">
        <v>482</v>
      </c>
    </row>
    <row r="981" customFormat="false" ht="15" hidden="false" customHeight="true" outlineLevel="0" collapsed="false">
      <c r="A981" s="4" t="s">
        <v>355</v>
      </c>
      <c r="B981" s="4" t="s">
        <v>230</v>
      </c>
      <c r="C981" s="6" t="n">
        <v>51.994</v>
      </c>
      <c r="D981" s="4" t="s">
        <v>456</v>
      </c>
      <c r="E981" s="18" t="s">
        <v>776</v>
      </c>
    </row>
    <row r="982" customFormat="false" ht="15" hidden="false" customHeight="true" outlineLevel="0" collapsed="false">
      <c r="A982" s="4" t="s">
        <v>355</v>
      </c>
      <c r="B982" s="4" t="s">
        <v>230</v>
      </c>
      <c r="C982" s="6" t="n">
        <v>63.325</v>
      </c>
      <c r="D982" s="17" t="s">
        <v>455</v>
      </c>
      <c r="E982" s="18" t="s">
        <v>777</v>
      </c>
    </row>
    <row r="983" customFormat="false" ht="15" hidden="false" customHeight="true" outlineLevel="0" collapsed="false">
      <c r="A983" s="4" t="s">
        <v>355</v>
      </c>
      <c r="B983" s="4" t="s">
        <v>230</v>
      </c>
      <c r="C983" s="6" t="n">
        <v>64.434</v>
      </c>
      <c r="D983" s="4" t="s">
        <v>460</v>
      </c>
      <c r="E983" s="18" t="s">
        <v>715</v>
      </c>
    </row>
    <row r="984" customFormat="false" ht="15" hidden="false" customHeight="true" outlineLevel="0" collapsed="false">
      <c r="A984" s="4" t="s">
        <v>355</v>
      </c>
      <c r="B984" s="4" t="s">
        <v>230</v>
      </c>
      <c r="C984" s="6" t="n">
        <v>64.485</v>
      </c>
      <c r="D984" s="4" t="s">
        <v>456</v>
      </c>
      <c r="E984" s="18" t="s">
        <v>464</v>
      </c>
    </row>
    <row r="985" customFormat="false" ht="15" hidden="false" customHeight="true" outlineLevel="0" collapsed="false">
      <c r="A985" s="4" t="s">
        <v>355</v>
      </c>
      <c r="B985" s="4" t="s">
        <v>230</v>
      </c>
      <c r="C985" s="6" t="n">
        <v>71.444</v>
      </c>
      <c r="D985" s="4" t="s">
        <v>456</v>
      </c>
      <c r="E985" s="18" t="s">
        <v>468</v>
      </c>
    </row>
    <row r="986" customFormat="false" ht="15" hidden="false" customHeight="true" outlineLevel="0" collapsed="false">
      <c r="A986" s="4" t="s">
        <v>355</v>
      </c>
      <c r="B986" s="4" t="s">
        <v>230</v>
      </c>
      <c r="C986" s="6" t="n">
        <v>75.009</v>
      </c>
      <c r="D986" s="4" t="s">
        <v>456</v>
      </c>
      <c r="E986" s="18" t="s">
        <v>469</v>
      </c>
    </row>
    <row r="987" customFormat="false" ht="15" hidden="false" customHeight="true" outlineLevel="0" collapsed="false">
      <c r="A987" s="4" t="s">
        <v>355</v>
      </c>
      <c r="B987" s="4" t="s">
        <v>230</v>
      </c>
      <c r="C987" s="6" t="n">
        <v>79.035</v>
      </c>
      <c r="D987" s="17" t="s">
        <v>455</v>
      </c>
      <c r="E987" s="18" t="s">
        <v>516</v>
      </c>
    </row>
    <row r="988" customFormat="false" ht="15" hidden="false" customHeight="true" outlineLevel="0" collapsed="false">
      <c r="A988" s="4" t="s">
        <v>355</v>
      </c>
      <c r="B988" s="4" t="s">
        <v>230</v>
      </c>
      <c r="C988" s="6" t="n">
        <v>79.039</v>
      </c>
      <c r="D988" s="4" t="s">
        <v>460</v>
      </c>
      <c r="E988" s="18" t="s">
        <v>471</v>
      </c>
    </row>
    <row r="989" customFormat="false" ht="15" hidden="false" customHeight="true" outlineLevel="0" collapsed="false">
      <c r="A989" s="4" t="s">
        <v>355</v>
      </c>
      <c r="B989" s="4" t="s">
        <v>230</v>
      </c>
      <c r="C989" s="6" t="n">
        <v>79.051</v>
      </c>
      <c r="D989" s="4" t="s">
        <v>456</v>
      </c>
      <c r="E989" s="18" t="s">
        <v>472</v>
      </c>
    </row>
    <row r="990" customFormat="false" ht="15" hidden="false" customHeight="true" outlineLevel="0" collapsed="false">
      <c r="A990" s="4" t="s">
        <v>355</v>
      </c>
      <c r="B990" s="4" t="s">
        <v>230</v>
      </c>
      <c r="C990" s="6" t="n">
        <v>84.425</v>
      </c>
      <c r="D990" s="4" t="s">
        <v>456</v>
      </c>
      <c r="E990" s="18" t="s">
        <v>473</v>
      </c>
    </row>
    <row r="991" customFormat="false" ht="15" hidden="false" customHeight="true" outlineLevel="0" collapsed="false">
      <c r="A991" s="4" t="s">
        <v>359</v>
      </c>
      <c r="B991" s="4" t="s">
        <v>230</v>
      </c>
      <c r="C991" s="6" t="n">
        <v>6.6</v>
      </c>
      <c r="D991" s="17" t="s">
        <v>455</v>
      </c>
      <c r="E991" s="18" t="s">
        <v>360</v>
      </c>
    </row>
    <row r="992" customFormat="false" ht="15" hidden="false" customHeight="true" outlineLevel="0" collapsed="false">
      <c r="A992" s="4" t="s">
        <v>359</v>
      </c>
      <c r="B992" s="4" t="s">
        <v>230</v>
      </c>
      <c r="C992" s="6" t="n">
        <v>7.626</v>
      </c>
      <c r="D992" s="4" t="s">
        <v>456</v>
      </c>
      <c r="E992" s="18" t="s">
        <v>778</v>
      </c>
    </row>
    <row r="993" customFormat="false" ht="15" hidden="false" customHeight="true" outlineLevel="0" collapsed="false">
      <c r="A993" s="4" t="s">
        <v>359</v>
      </c>
      <c r="B993" s="4" t="s">
        <v>230</v>
      </c>
      <c r="C993" s="6" t="n">
        <v>10.362</v>
      </c>
      <c r="D993" s="4" t="s">
        <v>456</v>
      </c>
      <c r="E993" s="18" t="s">
        <v>779</v>
      </c>
    </row>
    <row r="994" customFormat="false" ht="15" hidden="false" customHeight="true" outlineLevel="0" collapsed="false">
      <c r="A994" s="4" t="s">
        <v>359</v>
      </c>
      <c r="B994" s="4" t="s">
        <v>230</v>
      </c>
      <c r="C994" s="6" t="n">
        <v>18.84</v>
      </c>
      <c r="D994" s="4" t="s">
        <v>456</v>
      </c>
      <c r="E994" s="18" t="s">
        <v>579</v>
      </c>
    </row>
    <row r="995" customFormat="false" ht="15" hidden="false" customHeight="true" outlineLevel="0" collapsed="false">
      <c r="A995" s="4" t="s">
        <v>359</v>
      </c>
      <c r="B995" s="4" t="s">
        <v>230</v>
      </c>
      <c r="C995" s="6" t="n">
        <v>23.579</v>
      </c>
      <c r="D995" s="17" t="s">
        <v>455</v>
      </c>
      <c r="E995" s="18" t="s">
        <v>516</v>
      </c>
    </row>
    <row r="996" customFormat="false" ht="15" hidden="false" customHeight="true" outlineLevel="0" collapsed="false">
      <c r="A996" s="4" t="s">
        <v>359</v>
      </c>
      <c r="B996" s="4" t="s">
        <v>230</v>
      </c>
      <c r="C996" s="6" t="n">
        <v>23.583</v>
      </c>
      <c r="D996" s="4" t="s">
        <v>460</v>
      </c>
      <c r="E996" s="18" t="s">
        <v>549</v>
      </c>
    </row>
    <row r="997" customFormat="false" ht="15" hidden="false" customHeight="true" outlineLevel="0" collapsed="false">
      <c r="A997" s="4" t="s">
        <v>359</v>
      </c>
      <c r="B997" s="4" t="s">
        <v>230</v>
      </c>
      <c r="C997" s="6" t="n">
        <v>24.27</v>
      </c>
      <c r="D997" s="4" t="s">
        <v>456</v>
      </c>
      <c r="E997" s="18" t="s">
        <v>479</v>
      </c>
    </row>
    <row r="998" customFormat="false" ht="15" hidden="false" customHeight="true" outlineLevel="0" collapsed="false">
      <c r="A998" s="4" t="s">
        <v>359</v>
      </c>
      <c r="B998" s="4" t="s">
        <v>230</v>
      </c>
      <c r="C998" s="6" t="n">
        <v>29.076</v>
      </c>
      <c r="D998" s="4" t="s">
        <v>456</v>
      </c>
      <c r="E998" s="18" t="s">
        <v>480</v>
      </c>
    </row>
    <row r="999" customFormat="false" ht="15" hidden="false" customHeight="true" outlineLevel="0" collapsed="false">
      <c r="A999" s="4" t="s">
        <v>359</v>
      </c>
      <c r="B999" s="4" t="s">
        <v>230</v>
      </c>
      <c r="C999" s="6" t="n">
        <v>35.822</v>
      </c>
      <c r="D999" s="17" t="s">
        <v>455</v>
      </c>
      <c r="E999" s="18" t="s">
        <v>496</v>
      </c>
    </row>
    <row r="1000" customFormat="false" ht="15" hidden="false" customHeight="true" outlineLevel="0" collapsed="false">
      <c r="A1000" s="4" t="s">
        <v>359</v>
      </c>
      <c r="B1000" s="4" t="s">
        <v>230</v>
      </c>
      <c r="C1000" s="6" t="n">
        <v>35.825</v>
      </c>
      <c r="D1000" s="4" t="s">
        <v>460</v>
      </c>
      <c r="E1000" s="18" t="s">
        <v>471</v>
      </c>
    </row>
    <row r="1001" customFormat="false" ht="15" hidden="false" customHeight="true" outlineLevel="0" collapsed="false">
      <c r="A1001" s="4" t="s">
        <v>359</v>
      </c>
      <c r="B1001" s="4" t="s">
        <v>230</v>
      </c>
      <c r="C1001" s="6" t="n">
        <v>35.868</v>
      </c>
      <c r="D1001" s="4" t="s">
        <v>456</v>
      </c>
      <c r="E1001" s="18" t="s">
        <v>472</v>
      </c>
    </row>
    <row r="1002" customFormat="false" ht="15" hidden="false" customHeight="true" outlineLevel="0" collapsed="false">
      <c r="A1002" s="4" t="s">
        <v>359</v>
      </c>
      <c r="B1002" s="4" t="s">
        <v>230</v>
      </c>
      <c r="C1002" s="6" t="n">
        <v>42.024</v>
      </c>
      <c r="D1002" s="4" t="s">
        <v>456</v>
      </c>
      <c r="E1002" s="18" t="s">
        <v>507</v>
      </c>
    </row>
    <row r="1003" customFormat="false" ht="15" hidden="false" customHeight="true" outlineLevel="0" collapsed="false">
      <c r="A1003" s="4" t="s">
        <v>359</v>
      </c>
      <c r="B1003" s="4" t="s">
        <v>230</v>
      </c>
      <c r="C1003" s="6" t="n">
        <v>43.611</v>
      </c>
      <c r="D1003" s="17" t="s">
        <v>455</v>
      </c>
      <c r="E1003" s="18" t="s">
        <v>780</v>
      </c>
    </row>
    <row r="1004" customFormat="false" ht="15" hidden="false" customHeight="true" outlineLevel="0" collapsed="false">
      <c r="A1004" s="4" t="s">
        <v>359</v>
      </c>
      <c r="B1004" s="4" t="s">
        <v>230</v>
      </c>
      <c r="C1004" s="6" t="n">
        <v>43.614</v>
      </c>
      <c r="D1004" s="4" t="s">
        <v>460</v>
      </c>
      <c r="E1004" s="18" t="s">
        <v>467</v>
      </c>
    </row>
    <row r="1005" customFormat="false" ht="15" hidden="false" customHeight="true" outlineLevel="0" collapsed="false">
      <c r="A1005" s="4" t="s">
        <v>359</v>
      </c>
      <c r="B1005" s="4" t="s">
        <v>230</v>
      </c>
      <c r="C1005" s="6" t="n">
        <v>47.565</v>
      </c>
      <c r="D1005" s="4" t="s">
        <v>456</v>
      </c>
      <c r="E1005" s="18" t="s">
        <v>468</v>
      </c>
    </row>
    <row r="1006" customFormat="false" ht="15" hidden="false" customHeight="true" outlineLevel="0" collapsed="false">
      <c r="A1006" s="4" t="s">
        <v>359</v>
      </c>
      <c r="B1006" s="4" t="s">
        <v>230</v>
      </c>
      <c r="C1006" s="6" t="n">
        <v>49.819</v>
      </c>
      <c r="D1006" s="4" t="s">
        <v>456</v>
      </c>
      <c r="E1006" s="18" t="s">
        <v>500</v>
      </c>
    </row>
    <row r="1007" customFormat="false" ht="15" hidden="false" customHeight="true" outlineLevel="0" collapsed="false">
      <c r="A1007" s="4" t="s">
        <v>363</v>
      </c>
      <c r="B1007" s="4" t="s">
        <v>230</v>
      </c>
      <c r="C1007" s="6" t="n">
        <v>5.376</v>
      </c>
      <c r="D1007" s="17" t="s">
        <v>455</v>
      </c>
      <c r="E1007" s="18" t="s">
        <v>364</v>
      </c>
    </row>
    <row r="1008" customFormat="false" ht="15" hidden="false" customHeight="true" outlineLevel="0" collapsed="false">
      <c r="A1008" s="4" t="s">
        <v>363</v>
      </c>
      <c r="B1008" s="4" t="s">
        <v>230</v>
      </c>
      <c r="C1008" s="6" t="n">
        <v>6.49</v>
      </c>
      <c r="D1008" s="4" t="s">
        <v>456</v>
      </c>
      <c r="E1008" s="18" t="s">
        <v>781</v>
      </c>
    </row>
    <row r="1009" customFormat="false" ht="15" hidden="false" customHeight="true" outlineLevel="0" collapsed="false">
      <c r="A1009" s="4" t="s">
        <v>363</v>
      </c>
      <c r="B1009" s="4" t="s">
        <v>230</v>
      </c>
      <c r="C1009" s="6" t="n">
        <v>9.235</v>
      </c>
      <c r="D1009" s="4" t="s">
        <v>456</v>
      </c>
      <c r="E1009" s="18" t="s">
        <v>782</v>
      </c>
    </row>
    <row r="1010" customFormat="false" ht="15" hidden="false" customHeight="true" outlineLevel="0" collapsed="false">
      <c r="A1010" s="4" t="s">
        <v>363</v>
      </c>
      <c r="B1010" s="4" t="s">
        <v>230</v>
      </c>
      <c r="C1010" s="6" t="n">
        <v>17.599</v>
      </c>
      <c r="D1010" s="17" t="s">
        <v>455</v>
      </c>
      <c r="E1010" s="18" t="s">
        <v>783</v>
      </c>
    </row>
    <row r="1011" customFormat="false" ht="15" hidden="false" customHeight="true" outlineLevel="0" collapsed="false">
      <c r="A1011" s="4" t="s">
        <v>363</v>
      </c>
      <c r="B1011" s="4" t="s">
        <v>230</v>
      </c>
      <c r="C1011" s="6" t="n">
        <v>18.699</v>
      </c>
      <c r="D1011" s="4" t="s">
        <v>460</v>
      </c>
      <c r="E1011" s="18" t="s">
        <v>553</v>
      </c>
    </row>
    <row r="1012" customFormat="false" ht="15" hidden="false" customHeight="true" outlineLevel="0" collapsed="false">
      <c r="A1012" s="4" t="s">
        <v>363</v>
      </c>
      <c r="B1012" s="4" t="s">
        <v>230</v>
      </c>
      <c r="C1012" s="6" t="n">
        <v>19.26</v>
      </c>
      <c r="D1012" s="4" t="s">
        <v>456</v>
      </c>
      <c r="E1012" s="18" t="s">
        <v>555</v>
      </c>
    </row>
    <row r="1013" customFormat="false" ht="15" hidden="false" customHeight="true" outlineLevel="0" collapsed="false">
      <c r="A1013" s="4" t="s">
        <v>363</v>
      </c>
      <c r="B1013" s="4" t="s">
        <v>230</v>
      </c>
      <c r="C1013" s="6" t="n">
        <v>26.649</v>
      </c>
      <c r="D1013" s="17" t="s">
        <v>455</v>
      </c>
      <c r="E1013" s="18" t="s">
        <v>784</v>
      </c>
    </row>
    <row r="1014" customFormat="false" ht="15" hidden="false" customHeight="true" outlineLevel="0" collapsed="false">
      <c r="A1014" s="4" t="s">
        <v>363</v>
      </c>
      <c r="B1014" s="4" t="s">
        <v>230</v>
      </c>
      <c r="C1014" s="6" t="n">
        <v>27.675</v>
      </c>
      <c r="D1014" s="4" t="s">
        <v>460</v>
      </c>
      <c r="E1014" s="18" t="s">
        <v>552</v>
      </c>
    </row>
    <row r="1015" customFormat="false" ht="15" hidden="false" customHeight="true" outlineLevel="0" collapsed="false">
      <c r="A1015" s="4" t="s">
        <v>363</v>
      </c>
      <c r="B1015" s="4" t="s">
        <v>230</v>
      </c>
      <c r="C1015" s="6" t="n">
        <v>28.437</v>
      </c>
      <c r="D1015" s="4" t="s">
        <v>456</v>
      </c>
      <c r="E1015" s="18" t="s">
        <v>559</v>
      </c>
    </row>
    <row r="1016" customFormat="false" ht="15" hidden="false" customHeight="true" outlineLevel="0" collapsed="false">
      <c r="A1016" s="4" t="s">
        <v>363</v>
      </c>
      <c r="B1016" s="4" t="s">
        <v>230</v>
      </c>
      <c r="C1016" s="6" t="n">
        <v>34.199</v>
      </c>
      <c r="D1016" s="17" t="s">
        <v>455</v>
      </c>
      <c r="E1016" s="18" t="s">
        <v>785</v>
      </c>
    </row>
    <row r="1017" customFormat="false" ht="15" hidden="false" customHeight="true" outlineLevel="0" collapsed="false">
      <c r="A1017" s="4" t="s">
        <v>363</v>
      </c>
      <c r="B1017" s="4" t="s">
        <v>230</v>
      </c>
      <c r="C1017" s="6" t="n">
        <v>34.905</v>
      </c>
      <c r="D1017" s="4" t="s">
        <v>456</v>
      </c>
      <c r="E1017" s="18" t="s">
        <v>737</v>
      </c>
    </row>
    <row r="1018" customFormat="false" ht="15" hidden="false" customHeight="true" outlineLevel="0" collapsed="false">
      <c r="A1018" s="4" t="s">
        <v>363</v>
      </c>
      <c r="B1018" s="4" t="s">
        <v>230</v>
      </c>
      <c r="C1018" s="6" t="n">
        <v>39.322</v>
      </c>
      <c r="D1018" s="17" t="s">
        <v>455</v>
      </c>
      <c r="E1018" s="18" t="s">
        <v>786</v>
      </c>
    </row>
    <row r="1019" customFormat="false" ht="15" hidden="false" customHeight="true" outlineLevel="0" collapsed="false">
      <c r="A1019" s="4" t="s">
        <v>363</v>
      </c>
      <c r="B1019" s="4" t="s">
        <v>230</v>
      </c>
      <c r="C1019" s="6" t="n">
        <v>40.327</v>
      </c>
      <c r="D1019" s="4" t="s">
        <v>460</v>
      </c>
      <c r="E1019" s="18" t="s">
        <v>57</v>
      </c>
    </row>
    <row r="1020" customFormat="false" ht="15" hidden="false" customHeight="true" outlineLevel="0" collapsed="false">
      <c r="A1020" s="4" t="s">
        <v>363</v>
      </c>
      <c r="B1020" s="4" t="s">
        <v>230</v>
      </c>
      <c r="C1020" s="6" t="n">
        <v>41.086</v>
      </c>
      <c r="D1020" s="4" t="s">
        <v>456</v>
      </c>
      <c r="E1020" s="18" t="s">
        <v>464</v>
      </c>
    </row>
    <row r="1021" customFormat="false" ht="15" hidden="false" customHeight="true" outlineLevel="0" collapsed="false">
      <c r="A1021" s="4" t="s">
        <v>363</v>
      </c>
      <c r="B1021" s="4" t="s">
        <v>230</v>
      </c>
      <c r="C1021" s="6" t="n">
        <v>57.25</v>
      </c>
      <c r="D1021" s="17" t="s">
        <v>455</v>
      </c>
      <c r="E1021" s="18" t="s">
        <v>787</v>
      </c>
    </row>
    <row r="1022" customFormat="false" ht="15" hidden="false" customHeight="true" outlineLevel="0" collapsed="false">
      <c r="A1022" s="4" t="s">
        <v>363</v>
      </c>
      <c r="B1022" s="4" t="s">
        <v>230</v>
      </c>
      <c r="C1022" s="6" t="n">
        <v>57.255</v>
      </c>
      <c r="D1022" s="4" t="s">
        <v>460</v>
      </c>
      <c r="E1022" s="18" t="s">
        <v>467</v>
      </c>
    </row>
    <row r="1023" customFormat="false" ht="15" hidden="false" customHeight="true" outlineLevel="0" collapsed="false">
      <c r="A1023" s="4" t="s">
        <v>363</v>
      </c>
      <c r="B1023" s="4" t="s">
        <v>230</v>
      </c>
      <c r="C1023" s="6" t="n">
        <v>57.863</v>
      </c>
      <c r="D1023" s="4" t="s">
        <v>456</v>
      </c>
      <c r="E1023" s="18" t="s">
        <v>788</v>
      </c>
    </row>
    <row r="1024" customFormat="false" ht="15" hidden="false" customHeight="true" outlineLevel="0" collapsed="false">
      <c r="A1024" s="4" t="s">
        <v>363</v>
      </c>
      <c r="B1024" s="4" t="s">
        <v>230</v>
      </c>
      <c r="C1024" s="6" t="n">
        <v>61.861</v>
      </c>
      <c r="D1024" s="17" t="s">
        <v>455</v>
      </c>
      <c r="E1024" s="18" t="s">
        <v>789</v>
      </c>
    </row>
    <row r="1025" customFormat="false" ht="15" hidden="false" customHeight="true" outlineLevel="0" collapsed="false">
      <c r="A1025" s="4" t="s">
        <v>363</v>
      </c>
      <c r="B1025" s="4" t="s">
        <v>230</v>
      </c>
      <c r="C1025" s="6" t="n">
        <v>61.865</v>
      </c>
      <c r="D1025" s="4" t="s">
        <v>460</v>
      </c>
      <c r="E1025" s="18" t="s">
        <v>471</v>
      </c>
    </row>
    <row r="1026" customFormat="false" ht="15" hidden="false" customHeight="true" outlineLevel="0" collapsed="false">
      <c r="A1026" s="4" t="s">
        <v>363</v>
      </c>
      <c r="B1026" s="4" t="s">
        <v>230</v>
      </c>
      <c r="C1026" s="6" t="n">
        <v>61.878</v>
      </c>
      <c r="D1026" s="4" t="s">
        <v>456</v>
      </c>
      <c r="E1026" s="18" t="s">
        <v>472</v>
      </c>
    </row>
    <row r="1027" customFormat="false" ht="15" hidden="false" customHeight="true" outlineLevel="0" collapsed="false">
      <c r="A1027" s="4" t="s">
        <v>363</v>
      </c>
      <c r="B1027" s="4" t="s">
        <v>230</v>
      </c>
      <c r="C1027" s="6" t="n">
        <v>65.616</v>
      </c>
      <c r="D1027" s="17" t="s">
        <v>455</v>
      </c>
      <c r="E1027" s="18" t="s">
        <v>790</v>
      </c>
    </row>
    <row r="1028" customFormat="false" ht="15" hidden="false" customHeight="true" outlineLevel="0" collapsed="false">
      <c r="A1028" s="4" t="s">
        <v>363</v>
      </c>
      <c r="B1028" s="4" t="s">
        <v>230</v>
      </c>
      <c r="C1028" s="6" t="n">
        <v>65.62</v>
      </c>
      <c r="D1028" s="4" t="s">
        <v>460</v>
      </c>
      <c r="E1028" s="18" t="s">
        <v>523</v>
      </c>
    </row>
    <row r="1029" customFormat="false" ht="15" hidden="false" customHeight="true" outlineLevel="0" collapsed="false">
      <c r="A1029" s="4" t="s">
        <v>363</v>
      </c>
      <c r="B1029" s="4" t="s">
        <v>230</v>
      </c>
      <c r="C1029" s="6" t="n">
        <v>69.343</v>
      </c>
      <c r="D1029" s="4" t="s">
        <v>456</v>
      </c>
      <c r="E1029" s="18" t="s">
        <v>791</v>
      </c>
    </row>
    <row r="1030" customFormat="false" ht="15" hidden="false" customHeight="true" outlineLevel="0" collapsed="false">
      <c r="A1030" s="4" t="s">
        <v>366</v>
      </c>
      <c r="B1030" s="4" t="s">
        <v>230</v>
      </c>
      <c r="C1030" s="6" t="n">
        <v>5.086</v>
      </c>
      <c r="D1030" s="17" t="s">
        <v>455</v>
      </c>
      <c r="E1030" s="18" t="s">
        <v>368</v>
      </c>
    </row>
    <row r="1031" customFormat="false" ht="15" hidden="false" customHeight="true" outlineLevel="0" collapsed="false">
      <c r="A1031" s="4" t="s">
        <v>366</v>
      </c>
      <c r="B1031" s="4" t="s">
        <v>230</v>
      </c>
      <c r="C1031" s="6" t="n">
        <v>6.091</v>
      </c>
      <c r="D1031" s="4" t="s">
        <v>456</v>
      </c>
      <c r="E1031" s="18" t="s">
        <v>792</v>
      </c>
    </row>
    <row r="1032" customFormat="false" ht="15" hidden="false" customHeight="true" outlineLevel="0" collapsed="false">
      <c r="A1032" s="4" t="s">
        <v>370</v>
      </c>
      <c r="B1032" s="4" t="s">
        <v>230</v>
      </c>
      <c r="C1032" s="6" t="n">
        <v>9.438</v>
      </c>
      <c r="D1032" s="17" t="s">
        <v>455</v>
      </c>
      <c r="E1032" s="18" t="s">
        <v>371</v>
      </c>
    </row>
    <row r="1033" customFormat="false" ht="15" hidden="false" customHeight="true" outlineLevel="0" collapsed="false">
      <c r="A1033" s="4" t="s">
        <v>370</v>
      </c>
      <c r="B1033" s="4" t="s">
        <v>230</v>
      </c>
      <c r="C1033" s="6" t="n">
        <v>10.267</v>
      </c>
      <c r="D1033" s="4" t="s">
        <v>456</v>
      </c>
      <c r="E1033" s="18" t="s">
        <v>793</v>
      </c>
    </row>
    <row r="1034" customFormat="false" ht="15" hidden="false" customHeight="true" outlineLevel="0" collapsed="false">
      <c r="A1034" s="4" t="s">
        <v>370</v>
      </c>
      <c r="B1034" s="4" t="s">
        <v>230</v>
      </c>
      <c r="C1034" s="6" t="n">
        <v>13.417</v>
      </c>
      <c r="D1034" s="4" t="s">
        <v>456</v>
      </c>
      <c r="E1034" s="18" t="s">
        <v>792</v>
      </c>
    </row>
    <row r="1035" customFormat="false" ht="15" hidden="false" customHeight="true" outlineLevel="0" collapsed="false">
      <c r="A1035" s="4" t="s">
        <v>373</v>
      </c>
      <c r="B1035" s="4" t="s">
        <v>230</v>
      </c>
      <c r="C1035" s="6" t="n">
        <v>4.824</v>
      </c>
      <c r="D1035" s="17" t="s">
        <v>455</v>
      </c>
      <c r="E1035" s="18" t="s">
        <v>374</v>
      </c>
    </row>
    <row r="1036" customFormat="false" ht="15" hidden="false" customHeight="true" outlineLevel="0" collapsed="false">
      <c r="A1036" s="4" t="s">
        <v>373</v>
      </c>
      <c r="B1036" s="4" t="s">
        <v>230</v>
      </c>
      <c r="C1036" s="6" t="n">
        <v>4.828</v>
      </c>
      <c r="D1036" s="4" t="s">
        <v>460</v>
      </c>
      <c r="E1036" s="18" t="s">
        <v>545</v>
      </c>
    </row>
    <row r="1037" customFormat="false" ht="15" hidden="false" customHeight="true" outlineLevel="0" collapsed="false">
      <c r="A1037" s="4" t="s">
        <v>373</v>
      </c>
      <c r="B1037" s="4" t="s">
        <v>230</v>
      </c>
      <c r="C1037" s="6" t="n">
        <v>4.887</v>
      </c>
      <c r="D1037" s="4" t="s">
        <v>456</v>
      </c>
      <c r="E1037" s="18" t="s">
        <v>546</v>
      </c>
    </row>
    <row r="1038" customFormat="false" ht="15" hidden="false" customHeight="true" outlineLevel="0" collapsed="false">
      <c r="A1038" s="4" t="s">
        <v>373</v>
      </c>
      <c r="B1038" s="4" t="s">
        <v>230</v>
      </c>
      <c r="C1038" s="6" t="n">
        <v>7.704</v>
      </c>
      <c r="D1038" s="4" t="s">
        <v>456</v>
      </c>
      <c r="E1038" s="18" t="s">
        <v>479</v>
      </c>
    </row>
    <row r="1039" customFormat="false" ht="15" hidden="false" customHeight="true" outlineLevel="0" collapsed="false">
      <c r="A1039" s="4" t="s">
        <v>373</v>
      </c>
      <c r="B1039" s="4" t="s">
        <v>230</v>
      </c>
      <c r="C1039" s="6" t="n">
        <v>10.822</v>
      </c>
      <c r="D1039" s="4" t="s">
        <v>456</v>
      </c>
      <c r="E1039" s="18" t="s">
        <v>480</v>
      </c>
    </row>
    <row r="1040" customFormat="false" ht="15" hidden="false" customHeight="true" outlineLevel="0" collapsed="false">
      <c r="A1040" s="4" t="s">
        <v>373</v>
      </c>
      <c r="B1040" s="4" t="s">
        <v>230</v>
      </c>
      <c r="C1040" s="6" t="n">
        <v>19.111</v>
      </c>
      <c r="D1040" s="17" t="s">
        <v>455</v>
      </c>
      <c r="E1040" s="18" t="s">
        <v>86</v>
      </c>
    </row>
    <row r="1041" customFormat="false" ht="15" hidden="false" customHeight="true" outlineLevel="0" collapsed="false">
      <c r="A1041" s="4" t="s">
        <v>373</v>
      </c>
      <c r="B1041" s="4" t="s">
        <v>230</v>
      </c>
      <c r="C1041" s="6" t="n">
        <v>19.115</v>
      </c>
      <c r="D1041" s="4" t="s">
        <v>460</v>
      </c>
      <c r="E1041" s="18" t="s">
        <v>57</v>
      </c>
    </row>
    <row r="1042" customFormat="false" ht="15" hidden="false" customHeight="true" outlineLevel="0" collapsed="false">
      <c r="A1042" s="4" t="s">
        <v>373</v>
      </c>
      <c r="B1042" s="4" t="s">
        <v>230</v>
      </c>
      <c r="C1042" s="6" t="n">
        <v>19.184</v>
      </c>
      <c r="D1042" s="4" t="s">
        <v>456</v>
      </c>
      <c r="E1042" s="18" t="s">
        <v>464</v>
      </c>
    </row>
    <row r="1043" customFormat="false" ht="15" hidden="false" customHeight="true" outlineLevel="0" collapsed="false">
      <c r="A1043" s="4" t="s">
        <v>373</v>
      </c>
      <c r="B1043" s="4" t="s">
        <v>230</v>
      </c>
      <c r="C1043" s="6" t="n">
        <v>24.573</v>
      </c>
      <c r="D1043" s="4" t="s">
        <v>456</v>
      </c>
      <c r="E1043" s="18" t="s">
        <v>485</v>
      </c>
    </row>
    <row r="1044" customFormat="false" ht="15" hidden="false" customHeight="true" outlineLevel="0" collapsed="false">
      <c r="A1044" s="4" t="s">
        <v>373</v>
      </c>
      <c r="B1044" s="4" t="s">
        <v>230</v>
      </c>
      <c r="C1044" s="6" t="n">
        <v>32.557</v>
      </c>
      <c r="D1044" s="17" t="s">
        <v>455</v>
      </c>
      <c r="E1044" s="18" t="s">
        <v>466</v>
      </c>
    </row>
    <row r="1045" customFormat="false" ht="15" hidden="false" customHeight="true" outlineLevel="0" collapsed="false">
      <c r="A1045" s="4" t="s">
        <v>373</v>
      </c>
      <c r="B1045" s="4" t="s">
        <v>230</v>
      </c>
      <c r="C1045" s="6" t="n">
        <v>32.561</v>
      </c>
      <c r="D1045" s="4" t="s">
        <v>460</v>
      </c>
      <c r="E1045" s="18" t="s">
        <v>467</v>
      </c>
    </row>
    <row r="1046" customFormat="false" ht="15" hidden="false" customHeight="true" outlineLevel="0" collapsed="false">
      <c r="A1046" s="4" t="s">
        <v>373</v>
      </c>
      <c r="B1046" s="4" t="s">
        <v>230</v>
      </c>
      <c r="C1046" s="6" t="n">
        <v>32.618</v>
      </c>
      <c r="D1046" s="4" t="s">
        <v>456</v>
      </c>
      <c r="E1046" s="18" t="s">
        <v>468</v>
      </c>
    </row>
    <row r="1047" customFormat="false" ht="15" hidden="false" customHeight="true" outlineLevel="0" collapsed="false">
      <c r="A1047" s="4" t="s">
        <v>373</v>
      </c>
      <c r="B1047" s="4" t="s">
        <v>230</v>
      </c>
      <c r="C1047" s="6" t="n">
        <v>36.179</v>
      </c>
      <c r="D1047" s="4" t="s">
        <v>456</v>
      </c>
      <c r="E1047" s="18" t="s">
        <v>469</v>
      </c>
    </row>
    <row r="1048" customFormat="false" ht="15" hidden="false" customHeight="true" outlineLevel="0" collapsed="false">
      <c r="A1048" s="4" t="s">
        <v>373</v>
      </c>
      <c r="B1048" s="4" t="s">
        <v>230</v>
      </c>
      <c r="C1048" s="6" t="n">
        <v>39.986</v>
      </c>
      <c r="D1048" s="17" t="s">
        <v>455</v>
      </c>
      <c r="E1048" s="18" t="s">
        <v>541</v>
      </c>
    </row>
    <row r="1049" customFormat="false" ht="15" hidden="false" customHeight="true" outlineLevel="0" collapsed="false">
      <c r="A1049" s="4" t="s">
        <v>373</v>
      </c>
      <c r="B1049" s="4" t="s">
        <v>230</v>
      </c>
      <c r="C1049" s="6" t="n">
        <v>39.989</v>
      </c>
      <c r="D1049" s="4" t="s">
        <v>460</v>
      </c>
      <c r="E1049" s="18" t="s">
        <v>794</v>
      </c>
    </row>
    <row r="1050" customFormat="false" ht="15" hidden="false" customHeight="true" outlineLevel="0" collapsed="false">
      <c r="A1050" s="4" t="s">
        <v>373</v>
      </c>
      <c r="B1050" s="4" t="s">
        <v>230</v>
      </c>
      <c r="C1050" s="6" t="n">
        <v>39.997</v>
      </c>
      <c r="D1050" s="4" t="s">
        <v>456</v>
      </c>
      <c r="E1050" s="18" t="s">
        <v>795</v>
      </c>
    </row>
    <row r="1051" customFormat="false" ht="15" hidden="false" customHeight="true" outlineLevel="0" collapsed="false">
      <c r="A1051" s="4" t="s">
        <v>373</v>
      </c>
      <c r="B1051" s="4" t="s">
        <v>230</v>
      </c>
      <c r="C1051" s="6" t="n">
        <v>43.103</v>
      </c>
      <c r="D1051" s="17" t="s">
        <v>455</v>
      </c>
      <c r="E1051" s="18" t="s">
        <v>796</v>
      </c>
    </row>
    <row r="1052" customFormat="false" ht="15" hidden="false" customHeight="true" outlineLevel="0" collapsed="false">
      <c r="A1052" s="4" t="s">
        <v>373</v>
      </c>
      <c r="B1052" s="4" t="s">
        <v>230</v>
      </c>
      <c r="C1052" s="6" t="n">
        <v>44.847</v>
      </c>
      <c r="D1052" s="4" t="s">
        <v>460</v>
      </c>
      <c r="E1052" s="18" t="s">
        <v>57</v>
      </c>
    </row>
    <row r="1053" customFormat="false" ht="15" hidden="false" customHeight="true" outlineLevel="0" collapsed="false">
      <c r="A1053" s="4" t="s">
        <v>373</v>
      </c>
      <c r="B1053" s="4" t="s">
        <v>230</v>
      </c>
      <c r="C1053" s="6" t="n">
        <v>45.545</v>
      </c>
      <c r="D1053" s="4" t="s">
        <v>456</v>
      </c>
      <c r="E1053" s="18" t="s">
        <v>464</v>
      </c>
    </row>
    <row r="1054" customFormat="false" ht="15" hidden="false" customHeight="true" outlineLevel="0" collapsed="false">
      <c r="A1054" s="4" t="s">
        <v>373</v>
      </c>
      <c r="B1054" s="4" t="s">
        <v>230</v>
      </c>
      <c r="C1054" s="6" t="n">
        <v>51.996</v>
      </c>
      <c r="D1054" s="17" t="s">
        <v>455</v>
      </c>
      <c r="E1054" s="18" t="s">
        <v>797</v>
      </c>
    </row>
    <row r="1055" customFormat="false" ht="15" hidden="false" customHeight="true" outlineLevel="0" collapsed="false">
      <c r="A1055" s="4" t="s">
        <v>373</v>
      </c>
      <c r="B1055" s="4" t="s">
        <v>230</v>
      </c>
      <c r="C1055" s="6" t="n">
        <v>52.988</v>
      </c>
      <c r="D1055" s="4" t="s">
        <v>456</v>
      </c>
      <c r="E1055" s="18" t="s">
        <v>798</v>
      </c>
    </row>
    <row r="1056" customFormat="false" ht="15" hidden="false" customHeight="true" outlineLevel="0" collapsed="false">
      <c r="A1056" s="4" t="s">
        <v>373</v>
      </c>
      <c r="B1056" s="4" t="s">
        <v>230</v>
      </c>
      <c r="C1056" s="6" t="n">
        <v>56.873</v>
      </c>
      <c r="D1056" s="4" t="s">
        <v>456</v>
      </c>
      <c r="E1056" s="18" t="s">
        <v>799</v>
      </c>
    </row>
    <row r="1057" customFormat="false" ht="15" hidden="false" customHeight="true" outlineLevel="0" collapsed="false">
      <c r="A1057" s="4" t="s">
        <v>373</v>
      </c>
      <c r="B1057" s="4" t="s">
        <v>230</v>
      </c>
      <c r="C1057" s="6" t="n">
        <v>60.22</v>
      </c>
      <c r="D1057" s="17" t="s">
        <v>455</v>
      </c>
      <c r="E1057" s="18" t="s">
        <v>800</v>
      </c>
    </row>
    <row r="1058" customFormat="false" ht="15" hidden="false" customHeight="true" outlineLevel="0" collapsed="false">
      <c r="A1058" s="4" t="s">
        <v>373</v>
      </c>
      <c r="B1058" s="4" t="s">
        <v>230</v>
      </c>
      <c r="C1058" s="6" t="n">
        <v>61.117</v>
      </c>
      <c r="D1058" s="4" t="s">
        <v>460</v>
      </c>
      <c r="E1058" s="18" t="s">
        <v>471</v>
      </c>
    </row>
    <row r="1059" customFormat="false" ht="15" hidden="false" customHeight="true" outlineLevel="0" collapsed="false">
      <c r="A1059" s="4" t="s">
        <v>373</v>
      </c>
      <c r="B1059" s="4" t="s">
        <v>230</v>
      </c>
      <c r="C1059" s="6" t="n">
        <v>61.673</v>
      </c>
      <c r="D1059" s="4" t="s">
        <v>456</v>
      </c>
      <c r="E1059" s="18" t="s">
        <v>472</v>
      </c>
    </row>
    <row r="1060" customFormat="false" ht="15" hidden="false" customHeight="true" outlineLevel="0" collapsed="false">
      <c r="A1060" s="4" t="s">
        <v>379</v>
      </c>
      <c r="B1060" s="4" t="s">
        <v>380</v>
      </c>
      <c r="C1060" s="6" t="n">
        <v>5.662</v>
      </c>
      <c r="D1060" s="17" t="s">
        <v>455</v>
      </c>
      <c r="E1060" s="18" t="s">
        <v>381</v>
      </c>
    </row>
    <row r="1061" customFormat="false" ht="15" hidden="false" customHeight="true" outlineLevel="0" collapsed="false">
      <c r="A1061" s="4" t="s">
        <v>379</v>
      </c>
      <c r="B1061" s="4" t="s">
        <v>380</v>
      </c>
      <c r="C1061" s="6" t="n">
        <v>6.894</v>
      </c>
      <c r="D1061" s="4" t="s">
        <v>456</v>
      </c>
      <c r="E1061" s="18" t="s">
        <v>801</v>
      </c>
    </row>
    <row r="1062" customFormat="false" ht="15" hidden="false" customHeight="true" outlineLevel="0" collapsed="false">
      <c r="A1062" s="4" t="s">
        <v>383</v>
      </c>
      <c r="B1062" s="4" t="s">
        <v>380</v>
      </c>
      <c r="C1062" s="6" t="n">
        <v>4.892</v>
      </c>
      <c r="D1062" s="17" t="s">
        <v>455</v>
      </c>
      <c r="E1062" s="18" t="s">
        <v>384</v>
      </c>
    </row>
    <row r="1063" customFormat="false" ht="15" hidden="false" customHeight="true" outlineLevel="0" collapsed="false">
      <c r="A1063" s="4" t="s">
        <v>383</v>
      </c>
      <c r="B1063" s="4" t="s">
        <v>380</v>
      </c>
      <c r="C1063" s="6" t="n">
        <v>6.131</v>
      </c>
      <c r="D1063" s="4" t="s">
        <v>456</v>
      </c>
      <c r="E1063" s="18" t="s">
        <v>802</v>
      </c>
    </row>
    <row r="1064" customFormat="false" ht="15" hidden="false" customHeight="true" outlineLevel="0" collapsed="false">
      <c r="A1064" s="4" t="s">
        <v>383</v>
      </c>
      <c r="B1064" s="4" t="s">
        <v>380</v>
      </c>
      <c r="C1064" s="6" t="n">
        <v>8.9</v>
      </c>
      <c r="D1064" s="4" t="s">
        <v>456</v>
      </c>
      <c r="E1064" s="18" t="s">
        <v>801</v>
      </c>
    </row>
    <row r="1065" customFormat="false" ht="15" hidden="false" customHeight="true" outlineLevel="0" collapsed="false">
      <c r="A1065" s="4" t="s">
        <v>387</v>
      </c>
      <c r="B1065" s="4" t="s">
        <v>380</v>
      </c>
      <c r="C1065" s="6" t="n">
        <v>5.212</v>
      </c>
      <c r="D1065" s="17" t="s">
        <v>455</v>
      </c>
      <c r="E1065" s="18" t="s">
        <v>207</v>
      </c>
    </row>
    <row r="1066" customFormat="false" ht="15" hidden="false" customHeight="true" outlineLevel="0" collapsed="false">
      <c r="A1066" s="4" t="s">
        <v>387</v>
      </c>
      <c r="B1066" s="4" t="s">
        <v>380</v>
      </c>
      <c r="C1066" s="6" t="n">
        <v>5.221</v>
      </c>
      <c r="D1066" s="4" t="s">
        <v>460</v>
      </c>
      <c r="E1066" s="18" t="s">
        <v>474</v>
      </c>
    </row>
    <row r="1067" customFormat="false" ht="15" hidden="false" customHeight="true" outlineLevel="0" collapsed="false">
      <c r="A1067" s="4" t="s">
        <v>387</v>
      </c>
      <c r="B1067" s="4" t="s">
        <v>380</v>
      </c>
      <c r="C1067" s="6" t="n">
        <v>5.257</v>
      </c>
      <c r="D1067" s="4" t="s">
        <v>456</v>
      </c>
      <c r="E1067" s="18" t="s">
        <v>803</v>
      </c>
    </row>
    <row r="1068" customFormat="false" ht="15" hidden="false" customHeight="true" outlineLevel="0" collapsed="false">
      <c r="A1068" s="4" t="s">
        <v>387</v>
      </c>
      <c r="B1068" s="4" t="s">
        <v>380</v>
      </c>
      <c r="C1068" s="6" t="n">
        <v>14.155</v>
      </c>
      <c r="D1068" s="17" t="s">
        <v>455</v>
      </c>
      <c r="E1068" s="18" t="s">
        <v>804</v>
      </c>
    </row>
    <row r="1069" customFormat="false" ht="15" hidden="false" customHeight="true" outlineLevel="0" collapsed="false">
      <c r="A1069" s="4" t="s">
        <v>387</v>
      </c>
      <c r="B1069" s="4" t="s">
        <v>380</v>
      </c>
      <c r="C1069" s="6" t="n">
        <v>15.626</v>
      </c>
      <c r="D1069" s="4" t="s">
        <v>456</v>
      </c>
      <c r="E1069" s="18" t="s">
        <v>805</v>
      </c>
    </row>
    <row r="1070" customFormat="false" ht="15" hidden="false" customHeight="true" outlineLevel="0" collapsed="false">
      <c r="A1070" s="4" t="s">
        <v>387</v>
      </c>
      <c r="B1070" s="4" t="s">
        <v>380</v>
      </c>
      <c r="C1070" s="6" t="n">
        <v>23.096</v>
      </c>
      <c r="D1070" s="17" t="s">
        <v>455</v>
      </c>
      <c r="E1070" s="18" t="s">
        <v>806</v>
      </c>
    </row>
    <row r="1071" customFormat="false" ht="15" hidden="false" customHeight="true" outlineLevel="0" collapsed="false">
      <c r="A1071" s="4" t="s">
        <v>387</v>
      </c>
      <c r="B1071" s="4" t="s">
        <v>380</v>
      </c>
      <c r="C1071" s="6" t="n">
        <v>24.135</v>
      </c>
      <c r="D1071" s="4" t="s">
        <v>456</v>
      </c>
      <c r="E1071" s="18" t="s">
        <v>807</v>
      </c>
    </row>
    <row r="1072" customFormat="false" ht="15" hidden="false" customHeight="true" outlineLevel="0" collapsed="false">
      <c r="A1072" s="4" t="s">
        <v>387</v>
      </c>
      <c r="B1072" s="4" t="s">
        <v>380</v>
      </c>
      <c r="C1072" s="6" t="n">
        <v>32.075</v>
      </c>
      <c r="D1072" s="17" t="s">
        <v>455</v>
      </c>
      <c r="E1072" s="18" t="s">
        <v>808</v>
      </c>
    </row>
    <row r="1073" customFormat="false" ht="15" hidden="false" customHeight="true" outlineLevel="0" collapsed="false">
      <c r="A1073" s="4" t="s">
        <v>387</v>
      </c>
      <c r="B1073" s="4" t="s">
        <v>380</v>
      </c>
      <c r="C1073" s="6" t="n">
        <v>33.116</v>
      </c>
      <c r="D1073" s="4" t="s">
        <v>456</v>
      </c>
      <c r="E1073" s="18" t="s">
        <v>805</v>
      </c>
    </row>
    <row r="1074" customFormat="false" ht="15" hidden="false" customHeight="true" outlineLevel="0" collapsed="false">
      <c r="A1074" s="4" t="s">
        <v>387</v>
      </c>
      <c r="B1074" s="4" t="s">
        <v>380</v>
      </c>
      <c r="C1074" s="6" t="n">
        <v>41.965</v>
      </c>
      <c r="D1074" s="17" t="s">
        <v>455</v>
      </c>
      <c r="E1074" s="18" t="s">
        <v>809</v>
      </c>
    </row>
    <row r="1075" customFormat="false" ht="15" hidden="false" customHeight="true" outlineLevel="0" collapsed="false">
      <c r="A1075" s="4" t="s">
        <v>387</v>
      </c>
      <c r="B1075" s="4" t="s">
        <v>380</v>
      </c>
      <c r="C1075" s="6" t="n">
        <v>43.004</v>
      </c>
      <c r="D1075" s="4" t="s">
        <v>456</v>
      </c>
      <c r="E1075" s="18" t="s">
        <v>810</v>
      </c>
    </row>
    <row r="1076" customFormat="false" ht="15" hidden="false" customHeight="true" outlineLevel="0" collapsed="false">
      <c r="A1076" s="4" t="s">
        <v>387</v>
      </c>
      <c r="B1076" s="4" t="s">
        <v>380</v>
      </c>
      <c r="C1076" s="6" t="n">
        <v>50.515</v>
      </c>
      <c r="D1076" s="17" t="s">
        <v>455</v>
      </c>
      <c r="E1076" s="18" t="s">
        <v>811</v>
      </c>
    </row>
    <row r="1077" customFormat="false" ht="15" hidden="false" customHeight="true" outlineLevel="0" collapsed="false">
      <c r="A1077" s="4" t="s">
        <v>387</v>
      </c>
      <c r="B1077" s="4" t="s">
        <v>380</v>
      </c>
      <c r="C1077" s="6" t="n">
        <v>51.547</v>
      </c>
      <c r="D1077" s="4" t="s">
        <v>456</v>
      </c>
      <c r="E1077" s="18" t="s">
        <v>812</v>
      </c>
    </row>
    <row r="1078" customFormat="false" ht="15" hidden="false" customHeight="true" outlineLevel="0" collapsed="false">
      <c r="A1078" s="4" t="s">
        <v>387</v>
      </c>
      <c r="B1078" s="4" t="s">
        <v>380</v>
      </c>
      <c r="C1078" s="6" t="n">
        <v>58.006</v>
      </c>
      <c r="D1078" s="17" t="s">
        <v>455</v>
      </c>
      <c r="E1078" s="18" t="s">
        <v>811</v>
      </c>
    </row>
    <row r="1079" customFormat="false" ht="15" hidden="false" customHeight="true" outlineLevel="0" collapsed="false">
      <c r="A1079" s="4" t="s">
        <v>387</v>
      </c>
      <c r="B1079" s="4" t="s">
        <v>380</v>
      </c>
      <c r="C1079" s="6" t="n">
        <v>59.106</v>
      </c>
      <c r="D1079" s="4" t="s">
        <v>456</v>
      </c>
      <c r="E1079" s="18" t="s">
        <v>813</v>
      </c>
    </row>
    <row r="1080" customFormat="false" ht="15" hidden="false" customHeight="true" outlineLevel="0" collapsed="false">
      <c r="A1080" s="4" t="s">
        <v>387</v>
      </c>
      <c r="B1080" s="4" t="s">
        <v>380</v>
      </c>
      <c r="C1080" s="6" t="n">
        <v>60.502</v>
      </c>
      <c r="D1080" s="17" t="s">
        <v>455</v>
      </c>
      <c r="E1080" s="18" t="s">
        <v>814</v>
      </c>
    </row>
    <row r="1081" customFormat="false" ht="15" hidden="false" customHeight="true" outlineLevel="0" collapsed="false">
      <c r="A1081" s="4" t="s">
        <v>387</v>
      </c>
      <c r="B1081" s="4" t="s">
        <v>380</v>
      </c>
      <c r="C1081" s="6" t="n">
        <v>61.506</v>
      </c>
      <c r="D1081" s="4" t="s">
        <v>456</v>
      </c>
      <c r="E1081" s="18" t="s">
        <v>810</v>
      </c>
    </row>
    <row r="1082" customFormat="false" ht="15" hidden="false" customHeight="true" outlineLevel="0" collapsed="false">
      <c r="A1082" s="4" t="s">
        <v>387</v>
      </c>
      <c r="B1082" s="4" t="s">
        <v>380</v>
      </c>
      <c r="C1082" s="6" t="n">
        <v>71.003</v>
      </c>
      <c r="D1082" s="17" t="s">
        <v>455</v>
      </c>
      <c r="E1082" s="18" t="s">
        <v>815</v>
      </c>
    </row>
    <row r="1083" customFormat="false" ht="15" hidden="false" customHeight="true" outlineLevel="0" collapsed="false">
      <c r="A1083" s="4" t="s">
        <v>387</v>
      </c>
      <c r="B1083" s="4" t="s">
        <v>380</v>
      </c>
      <c r="C1083" s="6" t="n">
        <v>72.041</v>
      </c>
      <c r="D1083" s="4" t="s">
        <v>456</v>
      </c>
      <c r="E1083" s="18" t="s">
        <v>816</v>
      </c>
    </row>
    <row r="1084" customFormat="false" ht="15" hidden="false" customHeight="true" outlineLevel="0" collapsed="false">
      <c r="A1084" s="4" t="s">
        <v>387</v>
      </c>
      <c r="B1084" s="4" t="s">
        <v>380</v>
      </c>
      <c r="C1084" s="6" t="n">
        <v>89.109</v>
      </c>
      <c r="D1084" s="17" t="s">
        <v>455</v>
      </c>
      <c r="E1084" s="18" t="s">
        <v>817</v>
      </c>
    </row>
    <row r="1085" customFormat="false" ht="15" hidden="false" customHeight="true" outlineLevel="0" collapsed="false">
      <c r="A1085" s="4" t="s">
        <v>387</v>
      </c>
      <c r="B1085" s="4" t="s">
        <v>380</v>
      </c>
      <c r="C1085" s="6" t="n">
        <v>90.314</v>
      </c>
      <c r="D1085" s="4" t="s">
        <v>456</v>
      </c>
      <c r="E1085" s="18" t="s">
        <v>818</v>
      </c>
    </row>
    <row r="1086" customFormat="false" ht="15" hidden="false" customHeight="true" outlineLevel="0" collapsed="false">
      <c r="A1086" s="4" t="s">
        <v>387</v>
      </c>
      <c r="B1086" s="4" t="s">
        <v>380</v>
      </c>
      <c r="C1086" s="6" t="n">
        <v>101.449</v>
      </c>
      <c r="D1086" s="17" t="s">
        <v>455</v>
      </c>
      <c r="E1086" s="18" t="s">
        <v>819</v>
      </c>
    </row>
    <row r="1087" customFormat="false" ht="15" hidden="false" customHeight="true" outlineLevel="0" collapsed="false">
      <c r="A1087" s="4" t="s">
        <v>387</v>
      </c>
      <c r="B1087" s="4" t="s">
        <v>380</v>
      </c>
      <c r="C1087" s="6" t="n">
        <v>102.661</v>
      </c>
      <c r="D1087" s="4" t="s">
        <v>456</v>
      </c>
      <c r="E1087" s="18" t="s">
        <v>805</v>
      </c>
    </row>
    <row r="1088" customFormat="false" ht="15" hidden="false" customHeight="true" outlineLevel="0" collapsed="false">
      <c r="A1088" s="4" t="s">
        <v>387</v>
      </c>
      <c r="B1088" s="4" t="s">
        <v>380</v>
      </c>
      <c r="C1088" s="6" t="n">
        <v>111.223</v>
      </c>
      <c r="D1088" s="17" t="s">
        <v>455</v>
      </c>
      <c r="E1088" s="18" t="s">
        <v>820</v>
      </c>
    </row>
    <row r="1089" customFormat="false" ht="15" hidden="false" customHeight="true" outlineLevel="0" collapsed="false">
      <c r="A1089" s="4" t="s">
        <v>387</v>
      </c>
      <c r="B1089" s="4" t="s">
        <v>380</v>
      </c>
      <c r="C1089" s="6" t="n">
        <v>112.658</v>
      </c>
      <c r="D1089" s="4" t="s">
        <v>460</v>
      </c>
      <c r="E1089" s="18" t="s">
        <v>821</v>
      </c>
    </row>
    <row r="1090" customFormat="false" ht="15" hidden="false" customHeight="true" outlineLevel="0" collapsed="false">
      <c r="A1090" s="4" t="s">
        <v>387</v>
      </c>
      <c r="B1090" s="4" t="s">
        <v>380</v>
      </c>
      <c r="C1090" s="6" t="n">
        <v>112.696</v>
      </c>
      <c r="D1090" s="4" t="s">
        <v>456</v>
      </c>
      <c r="E1090" s="18" t="s">
        <v>636</v>
      </c>
    </row>
    <row r="1091" customFormat="false" ht="15" hidden="false" customHeight="true" outlineLevel="0" collapsed="false">
      <c r="A1091" s="4" t="s">
        <v>387</v>
      </c>
      <c r="B1091" s="4" t="s">
        <v>380</v>
      </c>
      <c r="C1091" s="6" t="n">
        <v>115.318</v>
      </c>
      <c r="D1091" s="4" t="s">
        <v>456</v>
      </c>
      <c r="E1091" s="18" t="s">
        <v>479</v>
      </c>
    </row>
    <row r="1092" customFormat="false" ht="15" hidden="false" customHeight="true" outlineLevel="0" collapsed="false">
      <c r="A1092" s="4" t="s">
        <v>387</v>
      </c>
      <c r="B1092" s="4" t="s">
        <v>380</v>
      </c>
      <c r="C1092" s="6" t="n">
        <v>118.32</v>
      </c>
      <c r="D1092" s="4" t="s">
        <v>456</v>
      </c>
      <c r="E1092" s="18" t="s">
        <v>480</v>
      </c>
    </row>
    <row r="1093" customFormat="false" ht="15" hidden="false" customHeight="true" outlineLevel="0" collapsed="false">
      <c r="A1093" s="4" t="s">
        <v>387</v>
      </c>
      <c r="B1093" s="4" t="s">
        <v>380</v>
      </c>
      <c r="C1093" s="6" t="n">
        <v>127.078</v>
      </c>
      <c r="D1093" s="17" t="s">
        <v>455</v>
      </c>
      <c r="E1093" s="18" t="s">
        <v>822</v>
      </c>
    </row>
    <row r="1094" customFormat="false" ht="15" hidden="false" customHeight="true" outlineLevel="0" collapsed="false">
      <c r="A1094" s="4" t="s">
        <v>387</v>
      </c>
      <c r="B1094" s="4" t="s">
        <v>380</v>
      </c>
      <c r="C1094" s="6" t="n">
        <v>127.097</v>
      </c>
      <c r="D1094" s="4" t="s">
        <v>460</v>
      </c>
      <c r="E1094" s="18" t="s">
        <v>551</v>
      </c>
    </row>
    <row r="1095" customFormat="false" ht="15" hidden="false" customHeight="true" outlineLevel="0" collapsed="false">
      <c r="A1095" s="4" t="s">
        <v>387</v>
      </c>
      <c r="B1095" s="4" t="s">
        <v>380</v>
      </c>
      <c r="C1095" s="6" t="n">
        <v>127.151</v>
      </c>
      <c r="D1095" s="4" t="s">
        <v>456</v>
      </c>
      <c r="E1095" s="18" t="s">
        <v>464</v>
      </c>
    </row>
    <row r="1096" customFormat="false" ht="15" hidden="false" customHeight="true" outlineLevel="0" collapsed="false">
      <c r="A1096" s="4" t="s">
        <v>387</v>
      </c>
      <c r="B1096" s="4" t="s">
        <v>380</v>
      </c>
      <c r="C1096" s="6" t="n">
        <v>135.046</v>
      </c>
      <c r="D1096" s="4" t="s">
        <v>456</v>
      </c>
      <c r="E1096" s="18" t="s">
        <v>468</v>
      </c>
    </row>
    <row r="1097" customFormat="false" ht="15" hidden="false" customHeight="true" outlineLevel="0" collapsed="false">
      <c r="A1097" s="4" t="s">
        <v>387</v>
      </c>
      <c r="B1097" s="4" t="s">
        <v>380</v>
      </c>
      <c r="C1097" s="6" t="n">
        <v>143.147</v>
      </c>
      <c r="D1097" s="4" t="s">
        <v>456</v>
      </c>
      <c r="E1097" s="18" t="s">
        <v>473</v>
      </c>
    </row>
    <row r="1098" customFormat="false" ht="15" hidden="false" customHeight="true" outlineLevel="0" collapsed="false">
      <c r="A1098" s="4" t="s">
        <v>390</v>
      </c>
      <c r="B1098" s="4" t="s">
        <v>380</v>
      </c>
      <c r="C1098" s="6" t="n">
        <v>3.719</v>
      </c>
      <c r="D1098" s="17" t="s">
        <v>455</v>
      </c>
      <c r="E1098" s="18" t="s">
        <v>391</v>
      </c>
    </row>
    <row r="1099" customFormat="false" ht="15" hidden="false" customHeight="true" outlineLevel="0" collapsed="false">
      <c r="A1099" s="4" t="s">
        <v>390</v>
      </c>
      <c r="B1099" s="4" t="s">
        <v>380</v>
      </c>
      <c r="C1099" s="6" t="n">
        <v>5.505</v>
      </c>
      <c r="D1099" s="17" t="s">
        <v>455</v>
      </c>
      <c r="E1099" s="18" t="s">
        <v>823</v>
      </c>
    </row>
    <row r="1100" customFormat="false" ht="15" hidden="false" customHeight="true" outlineLevel="0" collapsed="false">
      <c r="A1100" s="4" t="s">
        <v>390</v>
      </c>
      <c r="B1100" s="4" t="s">
        <v>380</v>
      </c>
      <c r="C1100" s="6" t="n">
        <v>6.67</v>
      </c>
      <c r="D1100" s="17" t="s">
        <v>455</v>
      </c>
      <c r="E1100" s="18" t="s">
        <v>824</v>
      </c>
    </row>
    <row r="1101" customFormat="false" ht="15" hidden="false" customHeight="true" outlineLevel="0" collapsed="false">
      <c r="A1101" s="4" t="s">
        <v>390</v>
      </c>
      <c r="B1101" s="4" t="s">
        <v>380</v>
      </c>
      <c r="C1101" s="6" t="n">
        <v>12.229</v>
      </c>
      <c r="D1101" s="4" t="s">
        <v>460</v>
      </c>
      <c r="E1101" s="18" t="s">
        <v>474</v>
      </c>
    </row>
    <row r="1102" customFormat="false" ht="15" hidden="false" customHeight="true" outlineLevel="0" collapsed="false">
      <c r="A1102" s="4" t="s">
        <v>390</v>
      </c>
      <c r="B1102" s="4" t="s">
        <v>380</v>
      </c>
      <c r="C1102" s="6" t="n">
        <v>12.308</v>
      </c>
      <c r="D1102" s="4" t="s">
        <v>456</v>
      </c>
      <c r="E1102" s="18" t="s">
        <v>825</v>
      </c>
    </row>
    <row r="1103" customFormat="false" ht="15" hidden="false" customHeight="true" outlineLevel="0" collapsed="false">
      <c r="A1103" s="4" t="s">
        <v>390</v>
      </c>
      <c r="B1103" s="4" t="s">
        <v>380</v>
      </c>
      <c r="C1103" s="6" t="n">
        <v>15.804</v>
      </c>
      <c r="D1103" s="4" t="s">
        <v>456</v>
      </c>
      <c r="E1103" s="18" t="s">
        <v>479</v>
      </c>
    </row>
    <row r="1104" customFormat="false" ht="15" hidden="false" customHeight="true" outlineLevel="0" collapsed="false">
      <c r="A1104" s="4" t="s">
        <v>390</v>
      </c>
      <c r="B1104" s="4" t="s">
        <v>380</v>
      </c>
      <c r="C1104" s="6" t="n">
        <v>18.807</v>
      </c>
      <c r="D1104" s="4" t="s">
        <v>456</v>
      </c>
      <c r="E1104" s="18" t="s">
        <v>480</v>
      </c>
    </row>
    <row r="1105" customFormat="false" ht="15" hidden="false" customHeight="true" outlineLevel="0" collapsed="false">
      <c r="A1105" s="4" t="s">
        <v>390</v>
      </c>
      <c r="B1105" s="4" t="s">
        <v>380</v>
      </c>
      <c r="C1105" s="6" t="n">
        <v>28.909</v>
      </c>
      <c r="D1105" s="17" t="s">
        <v>455</v>
      </c>
      <c r="E1105" s="18" t="s">
        <v>826</v>
      </c>
    </row>
    <row r="1106" customFormat="false" ht="15" hidden="false" customHeight="true" outlineLevel="0" collapsed="false">
      <c r="A1106" s="4" t="s">
        <v>390</v>
      </c>
      <c r="B1106" s="4" t="s">
        <v>380</v>
      </c>
      <c r="C1106" s="6" t="n">
        <v>28.913</v>
      </c>
      <c r="D1106" s="4" t="s">
        <v>460</v>
      </c>
      <c r="E1106" s="18" t="s">
        <v>551</v>
      </c>
    </row>
    <row r="1107" customFormat="false" ht="15" hidden="false" customHeight="true" outlineLevel="0" collapsed="false">
      <c r="A1107" s="4" t="s">
        <v>390</v>
      </c>
      <c r="B1107" s="4" t="s">
        <v>380</v>
      </c>
      <c r="C1107" s="6" t="n">
        <v>28.927</v>
      </c>
      <c r="D1107" s="4" t="s">
        <v>456</v>
      </c>
      <c r="E1107" s="18" t="s">
        <v>464</v>
      </c>
    </row>
    <row r="1108" customFormat="false" ht="15" hidden="false" customHeight="true" outlineLevel="0" collapsed="false">
      <c r="A1108" s="4" t="s">
        <v>390</v>
      </c>
      <c r="B1108" s="4" t="s">
        <v>380</v>
      </c>
      <c r="C1108" s="6" t="n">
        <v>33.918</v>
      </c>
      <c r="D1108" s="4" t="s">
        <v>456</v>
      </c>
      <c r="E1108" s="18" t="s">
        <v>468</v>
      </c>
    </row>
    <row r="1109" customFormat="false" ht="15" hidden="false" customHeight="true" outlineLevel="0" collapsed="false">
      <c r="A1109" s="4" t="s">
        <v>390</v>
      </c>
      <c r="B1109" s="4" t="s">
        <v>380</v>
      </c>
      <c r="C1109" s="6" t="n">
        <v>41.889</v>
      </c>
      <c r="D1109" s="4" t="s">
        <v>456</v>
      </c>
      <c r="E1109" s="18" t="s">
        <v>473</v>
      </c>
    </row>
    <row r="1110" customFormat="false" ht="15" hidden="false" customHeight="true" outlineLevel="0" collapsed="false">
      <c r="A1110" s="4" t="s">
        <v>395</v>
      </c>
      <c r="B1110" s="4" t="s">
        <v>380</v>
      </c>
      <c r="C1110" s="6" t="n">
        <v>6.513</v>
      </c>
      <c r="D1110" s="17" t="s">
        <v>455</v>
      </c>
      <c r="E1110" s="18" t="s">
        <v>396</v>
      </c>
    </row>
    <row r="1111" customFormat="false" ht="15" hidden="false" customHeight="true" outlineLevel="0" collapsed="false">
      <c r="A1111" s="4" t="s">
        <v>395</v>
      </c>
      <c r="B1111" s="4" t="s">
        <v>380</v>
      </c>
      <c r="C1111" s="6" t="n">
        <v>7.435</v>
      </c>
      <c r="D1111" s="4" t="s">
        <v>456</v>
      </c>
      <c r="E1111" s="18" t="s">
        <v>827</v>
      </c>
    </row>
    <row r="1112" customFormat="false" ht="15" hidden="false" customHeight="true" outlineLevel="0" collapsed="false">
      <c r="A1112" s="4" t="s">
        <v>395</v>
      </c>
      <c r="B1112" s="4" t="s">
        <v>380</v>
      </c>
      <c r="C1112" s="6" t="n">
        <v>14.887</v>
      </c>
      <c r="D1112" s="17" t="s">
        <v>455</v>
      </c>
      <c r="E1112" s="18" t="s">
        <v>828</v>
      </c>
    </row>
    <row r="1113" customFormat="false" ht="15" hidden="false" customHeight="true" outlineLevel="0" collapsed="false">
      <c r="A1113" s="4" t="s">
        <v>395</v>
      </c>
      <c r="B1113" s="4" t="s">
        <v>380</v>
      </c>
      <c r="C1113" s="6" t="n">
        <v>14.896</v>
      </c>
      <c r="D1113" s="4" t="s">
        <v>460</v>
      </c>
      <c r="E1113" s="18" t="s">
        <v>474</v>
      </c>
    </row>
    <row r="1114" customFormat="false" ht="15" hidden="false" customHeight="true" outlineLevel="0" collapsed="false">
      <c r="A1114" s="4" t="s">
        <v>395</v>
      </c>
      <c r="B1114" s="4" t="s">
        <v>380</v>
      </c>
      <c r="C1114" s="6" t="n">
        <v>14.92</v>
      </c>
      <c r="D1114" s="4" t="s">
        <v>456</v>
      </c>
      <c r="E1114" s="18" t="s">
        <v>803</v>
      </c>
    </row>
    <row r="1115" customFormat="false" ht="15" hidden="false" customHeight="true" outlineLevel="0" collapsed="false">
      <c r="A1115" s="4" t="s">
        <v>395</v>
      </c>
      <c r="B1115" s="4" t="s">
        <v>380</v>
      </c>
      <c r="C1115" s="6" t="n">
        <v>24.84</v>
      </c>
      <c r="D1115" s="17" t="s">
        <v>455</v>
      </c>
      <c r="E1115" s="18" t="s">
        <v>829</v>
      </c>
    </row>
    <row r="1116" customFormat="false" ht="15" hidden="false" customHeight="true" outlineLevel="0" collapsed="false">
      <c r="A1116" s="4" t="s">
        <v>395</v>
      </c>
      <c r="B1116" s="4" t="s">
        <v>380</v>
      </c>
      <c r="C1116" s="6" t="n">
        <v>25.592</v>
      </c>
      <c r="D1116" s="4" t="s">
        <v>456</v>
      </c>
      <c r="E1116" s="18" t="s">
        <v>830</v>
      </c>
    </row>
    <row r="1117" customFormat="false" ht="15" hidden="false" customHeight="true" outlineLevel="0" collapsed="false">
      <c r="A1117" s="4" t="s">
        <v>395</v>
      </c>
      <c r="B1117" s="4" t="s">
        <v>380</v>
      </c>
      <c r="C1117" s="6" t="n">
        <v>29.9</v>
      </c>
      <c r="D1117" s="4" t="s">
        <v>456</v>
      </c>
      <c r="E1117" s="18" t="s">
        <v>577</v>
      </c>
    </row>
    <row r="1118" customFormat="false" ht="15" hidden="false" customHeight="true" outlineLevel="0" collapsed="false">
      <c r="A1118" s="4" t="s">
        <v>395</v>
      </c>
      <c r="B1118" s="4" t="s">
        <v>380</v>
      </c>
      <c r="C1118" s="6" t="n">
        <v>35.113</v>
      </c>
      <c r="D1118" s="17" t="s">
        <v>455</v>
      </c>
      <c r="E1118" s="18" t="s">
        <v>516</v>
      </c>
    </row>
    <row r="1119" customFormat="false" ht="15" hidden="false" customHeight="true" outlineLevel="0" collapsed="false">
      <c r="A1119" s="4" t="s">
        <v>395</v>
      </c>
      <c r="B1119" s="4" t="s">
        <v>380</v>
      </c>
      <c r="C1119" s="6" t="n">
        <v>35.129</v>
      </c>
      <c r="D1119" s="4" t="s">
        <v>460</v>
      </c>
      <c r="E1119" s="18" t="s">
        <v>549</v>
      </c>
    </row>
    <row r="1120" customFormat="false" ht="15" hidden="false" customHeight="true" outlineLevel="0" collapsed="false">
      <c r="A1120" s="4" t="s">
        <v>395</v>
      </c>
      <c r="B1120" s="4" t="s">
        <v>380</v>
      </c>
      <c r="C1120" s="6" t="n">
        <v>35.926</v>
      </c>
      <c r="D1120" s="4" t="s">
        <v>456</v>
      </c>
      <c r="E1120" s="18" t="s">
        <v>479</v>
      </c>
    </row>
    <row r="1121" customFormat="false" ht="15" hidden="false" customHeight="true" outlineLevel="0" collapsed="false">
      <c r="A1121" s="4" t="s">
        <v>395</v>
      </c>
      <c r="B1121" s="4" t="s">
        <v>380</v>
      </c>
      <c r="C1121" s="6" t="n">
        <v>40.824</v>
      </c>
      <c r="D1121" s="4" t="s">
        <v>456</v>
      </c>
      <c r="E1121" s="18" t="s">
        <v>480</v>
      </c>
    </row>
    <row r="1122" customFormat="false" ht="15" hidden="false" customHeight="true" outlineLevel="0" collapsed="false">
      <c r="A1122" s="4" t="s">
        <v>395</v>
      </c>
      <c r="B1122" s="4" t="s">
        <v>380</v>
      </c>
      <c r="C1122" s="6" t="n">
        <v>50.885</v>
      </c>
      <c r="D1122" s="17" t="s">
        <v>455</v>
      </c>
      <c r="E1122" s="18" t="s">
        <v>481</v>
      </c>
    </row>
    <row r="1123" customFormat="false" ht="15" hidden="false" customHeight="true" outlineLevel="0" collapsed="false">
      <c r="A1123" s="4" t="s">
        <v>395</v>
      </c>
      <c r="B1123" s="4" t="s">
        <v>380</v>
      </c>
      <c r="C1123" s="6" t="n">
        <v>50.898</v>
      </c>
      <c r="D1123" s="4" t="s">
        <v>460</v>
      </c>
      <c r="E1123" s="18" t="s">
        <v>71</v>
      </c>
    </row>
    <row r="1124" customFormat="false" ht="15" hidden="false" customHeight="true" outlineLevel="0" collapsed="false">
      <c r="A1124" s="4" t="s">
        <v>395</v>
      </c>
      <c r="B1124" s="4" t="s">
        <v>380</v>
      </c>
      <c r="C1124" s="6" t="n">
        <v>50.962</v>
      </c>
      <c r="D1124" s="4" t="s">
        <v>456</v>
      </c>
      <c r="E1124" s="18" t="s">
        <v>482</v>
      </c>
    </row>
    <row r="1125" customFormat="false" ht="15" hidden="false" customHeight="true" outlineLevel="0" collapsed="false">
      <c r="A1125" s="4" t="s">
        <v>395</v>
      </c>
      <c r="B1125" s="4" t="s">
        <v>380</v>
      </c>
      <c r="C1125" s="6" t="n">
        <v>60.859</v>
      </c>
      <c r="D1125" s="4" t="s">
        <v>456</v>
      </c>
      <c r="E1125" s="18" t="s">
        <v>483</v>
      </c>
    </row>
    <row r="1126" customFormat="false" ht="15" hidden="false" customHeight="true" outlineLevel="0" collapsed="false">
      <c r="A1126" s="4" t="s">
        <v>395</v>
      </c>
      <c r="B1126" s="4" t="s">
        <v>380</v>
      </c>
      <c r="C1126" s="6" t="n">
        <v>70.487</v>
      </c>
      <c r="D1126" s="17" t="s">
        <v>455</v>
      </c>
      <c r="E1126" s="18" t="s">
        <v>831</v>
      </c>
    </row>
    <row r="1127" customFormat="false" ht="15" hidden="false" customHeight="true" outlineLevel="0" collapsed="false">
      <c r="A1127" s="4" t="s">
        <v>395</v>
      </c>
      <c r="B1127" s="4" t="s">
        <v>380</v>
      </c>
      <c r="C1127" s="6" t="n">
        <v>70.493</v>
      </c>
      <c r="D1127" s="4" t="s">
        <v>460</v>
      </c>
      <c r="E1127" s="18" t="s">
        <v>467</v>
      </c>
    </row>
    <row r="1128" customFormat="false" ht="15" hidden="false" customHeight="true" outlineLevel="0" collapsed="false">
      <c r="A1128" s="4" t="s">
        <v>395</v>
      </c>
      <c r="B1128" s="4" t="s">
        <v>380</v>
      </c>
      <c r="C1128" s="6" t="n">
        <v>70.55</v>
      </c>
      <c r="D1128" s="4" t="s">
        <v>456</v>
      </c>
      <c r="E1128" s="18" t="s">
        <v>468</v>
      </c>
    </row>
    <row r="1129" customFormat="false" ht="15" hidden="false" customHeight="true" outlineLevel="0" collapsed="false">
      <c r="A1129" s="4" t="s">
        <v>395</v>
      </c>
      <c r="B1129" s="4" t="s">
        <v>380</v>
      </c>
      <c r="C1129" s="6" t="n">
        <v>74.119</v>
      </c>
      <c r="D1129" s="4" t="s">
        <v>456</v>
      </c>
      <c r="E1129" s="18" t="s">
        <v>469</v>
      </c>
    </row>
    <row r="1130" customFormat="false" ht="15" hidden="false" customHeight="true" outlineLevel="0" collapsed="false">
      <c r="A1130" s="4" t="s">
        <v>395</v>
      </c>
      <c r="B1130" s="4" t="s">
        <v>380</v>
      </c>
      <c r="C1130" s="6" t="n">
        <v>82.053</v>
      </c>
      <c r="D1130" s="17" t="s">
        <v>455</v>
      </c>
      <c r="E1130" s="18" t="s">
        <v>516</v>
      </c>
    </row>
    <row r="1131" customFormat="false" ht="15" hidden="false" customHeight="true" outlineLevel="0" collapsed="false">
      <c r="A1131" s="4" t="s">
        <v>395</v>
      </c>
      <c r="B1131" s="4" t="s">
        <v>380</v>
      </c>
      <c r="C1131" s="6" t="n">
        <v>82.071</v>
      </c>
      <c r="D1131" s="4" t="s">
        <v>460</v>
      </c>
      <c r="E1131" s="18" t="s">
        <v>471</v>
      </c>
    </row>
    <row r="1132" customFormat="false" ht="15" hidden="false" customHeight="true" outlineLevel="0" collapsed="false">
      <c r="A1132" s="4" t="s">
        <v>395</v>
      </c>
      <c r="B1132" s="4" t="s">
        <v>380</v>
      </c>
      <c r="C1132" s="6" t="n">
        <v>82.089</v>
      </c>
      <c r="D1132" s="4" t="s">
        <v>456</v>
      </c>
      <c r="E1132" s="18" t="s">
        <v>472</v>
      </c>
    </row>
    <row r="1133" customFormat="false" ht="15" hidden="false" customHeight="true" outlineLevel="0" collapsed="false">
      <c r="A1133" s="4" t="s">
        <v>395</v>
      </c>
      <c r="B1133" s="4" t="s">
        <v>380</v>
      </c>
      <c r="C1133" s="6" t="n">
        <v>86.586</v>
      </c>
      <c r="D1133" s="4" t="s">
        <v>456</v>
      </c>
      <c r="E1133" s="18" t="s">
        <v>473</v>
      </c>
    </row>
    <row r="1134" customFormat="false" ht="15" hidden="false" customHeight="true" outlineLevel="0" collapsed="false">
      <c r="A1134" s="4" t="s">
        <v>398</v>
      </c>
      <c r="B1134" s="4" t="s">
        <v>380</v>
      </c>
      <c r="C1134" s="6" t="n">
        <v>6.101</v>
      </c>
      <c r="D1134" s="4" t="s">
        <v>456</v>
      </c>
      <c r="E1134" s="18" t="s">
        <v>579</v>
      </c>
    </row>
    <row r="1135" customFormat="false" ht="15" hidden="false" customHeight="true" outlineLevel="0" collapsed="false">
      <c r="A1135" s="4" t="s">
        <v>398</v>
      </c>
      <c r="B1135" s="4" t="s">
        <v>380</v>
      </c>
      <c r="C1135" s="6" t="n">
        <v>13.737</v>
      </c>
      <c r="D1135" s="17" t="s">
        <v>455</v>
      </c>
      <c r="E1135" s="18" t="s">
        <v>146</v>
      </c>
    </row>
    <row r="1136" customFormat="false" ht="15" hidden="false" customHeight="true" outlineLevel="0" collapsed="false">
      <c r="A1136" s="4" t="s">
        <v>398</v>
      </c>
      <c r="B1136" s="4" t="s">
        <v>380</v>
      </c>
      <c r="C1136" s="6" t="n">
        <v>13.75</v>
      </c>
      <c r="D1136" s="4" t="s">
        <v>460</v>
      </c>
      <c r="E1136" s="18" t="s">
        <v>549</v>
      </c>
    </row>
    <row r="1137" customFormat="false" ht="15" hidden="false" customHeight="true" outlineLevel="0" collapsed="false">
      <c r="A1137" s="4" t="s">
        <v>398</v>
      </c>
      <c r="B1137" s="4" t="s">
        <v>380</v>
      </c>
      <c r="C1137" s="6" t="n">
        <v>14.549</v>
      </c>
      <c r="D1137" s="4" t="s">
        <v>456</v>
      </c>
      <c r="E1137" s="18" t="s">
        <v>479</v>
      </c>
    </row>
    <row r="1138" customFormat="false" ht="15" hidden="false" customHeight="true" outlineLevel="0" collapsed="false">
      <c r="A1138" s="4" t="s">
        <v>398</v>
      </c>
      <c r="B1138" s="4" t="s">
        <v>380</v>
      </c>
      <c r="C1138" s="6" t="n">
        <v>19.115</v>
      </c>
      <c r="D1138" s="4" t="s">
        <v>456</v>
      </c>
      <c r="E1138" s="18" t="s">
        <v>480</v>
      </c>
    </row>
    <row r="1139" customFormat="false" ht="15" hidden="false" customHeight="true" outlineLevel="0" collapsed="false">
      <c r="A1139" s="4" t="s">
        <v>398</v>
      </c>
      <c r="B1139" s="4" t="s">
        <v>380</v>
      </c>
      <c r="C1139" s="6" t="n">
        <v>26.53</v>
      </c>
      <c r="D1139" s="17" t="s">
        <v>455</v>
      </c>
      <c r="E1139" s="18" t="s">
        <v>481</v>
      </c>
    </row>
    <row r="1140" customFormat="false" ht="15" hidden="false" customHeight="true" outlineLevel="0" collapsed="false">
      <c r="A1140" s="4" t="s">
        <v>398</v>
      </c>
      <c r="B1140" s="4" t="s">
        <v>380</v>
      </c>
      <c r="C1140" s="6" t="n">
        <v>26.537</v>
      </c>
      <c r="D1140" s="4" t="s">
        <v>460</v>
      </c>
      <c r="E1140" s="18" t="s">
        <v>71</v>
      </c>
    </row>
    <row r="1141" customFormat="false" ht="15" hidden="false" customHeight="true" outlineLevel="0" collapsed="false">
      <c r="A1141" s="4" t="s">
        <v>398</v>
      </c>
      <c r="B1141" s="4" t="s">
        <v>380</v>
      </c>
      <c r="C1141" s="6" t="n">
        <v>26.573</v>
      </c>
      <c r="D1141" s="4" t="s">
        <v>456</v>
      </c>
      <c r="E1141" s="18" t="s">
        <v>482</v>
      </c>
    </row>
    <row r="1142" customFormat="false" ht="15" hidden="false" customHeight="true" outlineLevel="0" collapsed="false">
      <c r="A1142" s="4" t="s">
        <v>398</v>
      </c>
      <c r="B1142" s="4" t="s">
        <v>380</v>
      </c>
      <c r="C1142" s="6" t="n">
        <v>34.085</v>
      </c>
      <c r="D1142" s="4" t="s">
        <v>456</v>
      </c>
      <c r="E1142" s="18" t="s">
        <v>483</v>
      </c>
    </row>
    <row r="1143" customFormat="false" ht="15" hidden="false" customHeight="true" outlineLevel="0" collapsed="false">
      <c r="A1143" s="4" t="s">
        <v>398</v>
      </c>
      <c r="B1143" s="4" t="s">
        <v>380</v>
      </c>
      <c r="C1143" s="6" t="n">
        <v>40.863</v>
      </c>
      <c r="D1143" s="17" t="s">
        <v>455</v>
      </c>
      <c r="E1143" s="18" t="s">
        <v>516</v>
      </c>
    </row>
    <row r="1144" customFormat="false" ht="15" hidden="false" customHeight="true" outlineLevel="0" collapsed="false">
      <c r="A1144" s="4" t="s">
        <v>398</v>
      </c>
      <c r="B1144" s="4" t="s">
        <v>380</v>
      </c>
      <c r="C1144" s="6" t="n">
        <v>40.868</v>
      </c>
      <c r="D1144" s="4" t="s">
        <v>460</v>
      </c>
      <c r="E1144" s="18" t="s">
        <v>467</v>
      </c>
    </row>
    <row r="1145" customFormat="false" ht="15" hidden="false" customHeight="true" outlineLevel="0" collapsed="false">
      <c r="A1145" s="4" t="s">
        <v>398</v>
      </c>
      <c r="B1145" s="4" t="s">
        <v>380</v>
      </c>
      <c r="C1145" s="6" t="n">
        <v>40.929</v>
      </c>
      <c r="D1145" s="4" t="s">
        <v>456</v>
      </c>
      <c r="E1145" s="18" t="s">
        <v>468</v>
      </c>
    </row>
    <row r="1146" customFormat="false" ht="15" hidden="false" customHeight="true" outlineLevel="0" collapsed="false">
      <c r="A1146" s="4" t="s">
        <v>398</v>
      </c>
      <c r="B1146" s="4" t="s">
        <v>380</v>
      </c>
      <c r="C1146" s="6" t="n">
        <v>44.493</v>
      </c>
      <c r="D1146" s="4" t="s">
        <v>456</v>
      </c>
      <c r="E1146" s="18" t="s">
        <v>469</v>
      </c>
    </row>
    <row r="1147" customFormat="false" ht="15" hidden="false" customHeight="true" outlineLevel="0" collapsed="false">
      <c r="A1147" s="4" t="s">
        <v>398</v>
      </c>
      <c r="B1147" s="4" t="s">
        <v>380</v>
      </c>
      <c r="C1147" s="6" t="n">
        <v>48.088</v>
      </c>
      <c r="D1147" s="17" t="s">
        <v>455</v>
      </c>
      <c r="E1147" s="18" t="s">
        <v>516</v>
      </c>
    </row>
    <row r="1148" customFormat="false" ht="15" hidden="false" customHeight="true" outlineLevel="0" collapsed="false">
      <c r="A1148" s="4" t="s">
        <v>398</v>
      </c>
      <c r="B1148" s="4" t="s">
        <v>380</v>
      </c>
      <c r="C1148" s="6" t="n">
        <v>48.095</v>
      </c>
      <c r="D1148" s="4" t="s">
        <v>460</v>
      </c>
      <c r="E1148" s="18" t="s">
        <v>471</v>
      </c>
    </row>
    <row r="1149" customFormat="false" ht="15" hidden="false" customHeight="true" outlineLevel="0" collapsed="false">
      <c r="A1149" s="4" t="s">
        <v>398</v>
      </c>
      <c r="B1149" s="4" t="s">
        <v>380</v>
      </c>
      <c r="C1149" s="6" t="n">
        <v>48.105</v>
      </c>
      <c r="D1149" s="4" t="s">
        <v>456</v>
      </c>
      <c r="E1149" s="18" t="s">
        <v>472</v>
      </c>
    </row>
    <row r="1150" customFormat="false" ht="15" hidden="false" customHeight="true" outlineLevel="0" collapsed="false">
      <c r="A1150" s="4" t="s">
        <v>398</v>
      </c>
      <c r="B1150" s="4" t="s">
        <v>380</v>
      </c>
      <c r="C1150" s="6" t="n">
        <v>52.472</v>
      </c>
      <c r="D1150" s="4" t="s">
        <v>456</v>
      </c>
      <c r="E1150" s="18" t="s">
        <v>473</v>
      </c>
    </row>
    <row r="1151" customFormat="false" ht="15" hidden="false" customHeight="true" outlineLevel="0" collapsed="false">
      <c r="A1151" s="4" t="s">
        <v>401</v>
      </c>
      <c r="B1151" s="4" t="s">
        <v>380</v>
      </c>
      <c r="C1151" s="6" t="n">
        <v>5.554</v>
      </c>
      <c r="D1151" s="17" t="s">
        <v>455</v>
      </c>
      <c r="E1151" s="18" t="s">
        <v>402</v>
      </c>
    </row>
    <row r="1152" customFormat="false" ht="15" hidden="false" customHeight="true" outlineLevel="0" collapsed="false">
      <c r="A1152" s="4" t="s">
        <v>401</v>
      </c>
      <c r="B1152" s="4" t="s">
        <v>380</v>
      </c>
      <c r="C1152" s="6" t="n">
        <v>8.206</v>
      </c>
      <c r="D1152" s="4" t="s">
        <v>460</v>
      </c>
      <c r="E1152" s="18" t="s">
        <v>553</v>
      </c>
    </row>
    <row r="1153" customFormat="false" ht="15" hidden="false" customHeight="true" outlineLevel="0" collapsed="false">
      <c r="A1153" s="4" t="s">
        <v>401</v>
      </c>
      <c r="B1153" s="4" t="s">
        <v>380</v>
      </c>
      <c r="C1153" s="6" t="n">
        <v>9.539</v>
      </c>
      <c r="D1153" s="4" t="s">
        <v>456</v>
      </c>
      <c r="E1153" s="18" t="s">
        <v>555</v>
      </c>
    </row>
    <row r="1154" customFormat="false" ht="15" hidden="false" customHeight="true" outlineLevel="0" collapsed="false">
      <c r="A1154" s="4" t="s">
        <v>401</v>
      </c>
      <c r="B1154" s="4" t="s">
        <v>380</v>
      </c>
      <c r="C1154" s="6" t="n">
        <v>17.792</v>
      </c>
      <c r="D1154" s="17" t="s">
        <v>455</v>
      </c>
      <c r="E1154" s="18" t="s">
        <v>832</v>
      </c>
    </row>
    <row r="1155" customFormat="false" ht="15" hidden="false" customHeight="true" outlineLevel="0" collapsed="false">
      <c r="A1155" s="4" t="s">
        <v>401</v>
      </c>
      <c r="B1155" s="4" t="s">
        <v>380</v>
      </c>
      <c r="C1155" s="6" t="n">
        <v>18.789</v>
      </c>
      <c r="D1155" s="4" t="s">
        <v>460</v>
      </c>
      <c r="E1155" s="18" t="s">
        <v>57</v>
      </c>
    </row>
    <row r="1156" customFormat="false" ht="15" hidden="false" customHeight="true" outlineLevel="0" collapsed="false">
      <c r="A1156" s="4" t="s">
        <v>401</v>
      </c>
      <c r="B1156" s="4" t="s">
        <v>380</v>
      </c>
      <c r="C1156" s="6" t="n">
        <v>19.764</v>
      </c>
      <c r="D1156" s="4" t="s">
        <v>456</v>
      </c>
      <c r="E1156" s="18" t="s">
        <v>464</v>
      </c>
    </row>
    <row r="1157" customFormat="false" ht="15" hidden="false" customHeight="true" outlineLevel="0" collapsed="false">
      <c r="A1157" s="4" t="s">
        <v>401</v>
      </c>
      <c r="B1157" s="4" t="s">
        <v>380</v>
      </c>
      <c r="C1157" s="6" t="n">
        <v>30.43</v>
      </c>
      <c r="D1157" s="17" t="s">
        <v>455</v>
      </c>
      <c r="E1157" s="18" t="s">
        <v>586</v>
      </c>
    </row>
    <row r="1158" customFormat="false" ht="15" hidden="false" customHeight="true" outlineLevel="0" collapsed="false">
      <c r="A1158" s="4" t="s">
        <v>401</v>
      </c>
      <c r="B1158" s="4" t="s">
        <v>380</v>
      </c>
      <c r="C1158" s="6" t="n">
        <v>30.433</v>
      </c>
      <c r="D1158" s="4" t="s">
        <v>460</v>
      </c>
      <c r="E1158" s="18" t="s">
        <v>471</v>
      </c>
    </row>
    <row r="1159" customFormat="false" ht="15" hidden="false" customHeight="true" outlineLevel="0" collapsed="false">
      <c r="A1159" s="4" t="s">
        <v>401</v>
      </c>
      <c r="B1159" s="4" t="s">
        <v>380</v>
      </c>
      <c r="C1159" s="6" t="n">
        <v>30.453</v>
      </c>
      <c r="D1159" s="4" t="s">
        <v>456</v>
      </c>
      <c r="E1159" s="18" t="s">
        <v>472</v>
      </c>
    </row>
    <row r="1160" customFormat="false" ht="15" hidden="false" customHeight="true" outlineLevel="0" collapsed="false">
      <c r="A1160" s="4" t="s">
        <v>401</v>
      </c>
      <c r="B1160" s="4" t="s">
        <v>380</v>
      </c>
      <c r="C1160" s="6" t="n">
        <v>42.881</v>
      </c>
      <c r="D1160" s="17" t="s">
        <v>455</v>
      </c>
      <c r="E1160" s="18" t="s">
        <v>833</v>
      </c>
    </row>
    <row r="1161" customFormat="false" ht="15" hidden="false" customHeight="true" outlineLevel="0" collapsed="false">
      <c r="A1161" s="4" t="s">
        <v>401</v>
      </c>
      <c r="B1161" s="4" t="s">
        <v>380</v>
      </c>
      <c r="C1161" s="6" t="n">
        <v>43.863</v>
      </c>
      <c r="D1161" s="4" t="s">
        <v>460</v>
      </c>
      <c r="E1161" s="18" t="s">
        <v>553</v>
      </c>
    </row>
    <row r="1162" customFormat="false" ht="15" hidden="false" customHeight="true" outlineLevel="0" collapsed="false">
      <c r="A1162" s="4" t="s">
        <v>401</v>
      </c>
      <c r="B1162" s="4" t="s">
        <v>380</v>
      </c>
      <c r="C1162" s="6" t="n">
        <v>44.86</v>
      </c>
      <c r="D1162" s="4" t="s">
        <v>456</v>
      </c>
      <c r="E1162" s="18" t="s">
        <v>555</v>
      </c>
    </row>
    <row r="1163" customFormat="false" ht="15" hidden="false" customHeight="true" outlineLevel="0" collapsed="false">
      <c r="A1163" s="4" t="s">
        <v>404</v>
      </c>
      <c r="B1163" s="4" t="s">
        <v>380</v>
      </c>
      <c r="C1163" s="6" t="n">
        <v>5.905</v>
      </c>
      <c r="D1163" s="17" t="s">
        <v>455</v>
      </c>
      <c r="E1163" s="18" t="s">
        <v>405</v>
      </c>
    </row>
    <row r="1164" customFormat="false" ht="15" hidden="false" customHeight="true" outlineLevel="0" collapsed="false">
      <c r="A1164" s="4" t="s">
        <v>404</v>
      </c>
      <c r="B1164" s="4" t="s">
        <v>380</v>
      </c>
      <c r="C1164" s="6" t="n">
        <v>7.581</v>
      </c>
      <c r="D1164" s="4" t="s">
        <v>456</v>
      </c>
      <c r="E1164" s="18" t="s">
        <v>801</v>
      </c>
    </row>
    <row r="1165" customFormat="false" ht="15" hidden="false" customHeight="true" outlineLevel="0" collapsed="false">
      <c r="A1165" s="4" t="s">
        <v>407</v>
      </c>
      <c r="B1165" s="4" t="s">
        <v>380</v>
      </c>
      <c r="C1165" s="6" t="n">
        <v>6.254</v>
      </c>
      <c r="D1165" s="17" t="s">
        <v>455</v>
      </c>
      <c r="E1165" s="18" t="s">
        <v>344</v>
      </c>
    </row>
    <row r="1166" customFormat="false" ht="15" hidden="false" customHeight="true" outlineLevel="0" collapsed="false">
      <c r="A1166" s="4" t="s">
        <v>407</v>
      </c>
      <c r="B1166" s="4" t="s">
        <v>380</v>
      </c>
      <c r="C1166" s="6" t="n">
        <v>6.269</v>
      </c>
      <c r="D1166" s="4" t="s">
        <v>460</v>
      </c>
      <c r="E1166" s="18" t="s">
        <v>493</v>
      </c>
    </row>
    <row r="1167" customFormat="false" ht="15" hidden="false" customHeight="true" outlineLevel="0" collapsed="false">
      <c r="A1167" s="4" t="s">
        <v>407</v>
      </c>
      <c r="B1167" s="4" t="s">
        <v>380</v>
      </c>
      <c r="C1167" s="6" t="n">
        <v>7.2</v>
      </c>
      <c r="D1167" s="4" t="s">
        <v>456</v>
      </c>
      <c r="E1167" s="18" t="s">
        <v>494</v>
      </c>
    </row>
    <row r="1168" customFormat="false" ht="15" hidden="false" customHeight="true" outlineLevel="0" collapsed="false">
      <c r="A1168" s="4" t="s">
        <v>407</v>
      </c>
      <c r="B1168" s="4" t="s">
        <v>380</v>
      </c>
      <c r="C1168" s="6" t="n">
        <v>12.47</v>
      </c>
      <c r="D1168" s="4" t="s">
        <v>456</v>
      </c>
      <c r="E1168" s="18" t="s">
        <v>495</v>
      </c>
    </row>
    <row r="1169" customFormat="false" ht="15" hidden="false" customHeight="true" outlineLevel="0" collapsed="false">
      <c r="A1169" s="4" t="s">
        <v>407</v>
      </c>
      <c r="B1169" s="4" t="s">
        <v>380</v>
      </c>
      <c r="C1169" s="6" t="n">
        <v>18.247</v>
      </c>
      <c r="D1169" s="17" t="s">
        <v>455</v>
      </c>
      <c r="E1169" s="18" t="s">
        <v>834</v>
      </c>
    </row>
    <row r="1170" customFormat="false" ht="15" hidden="false" customHeight="true" outlineLevel="0" collapsed="false">
      <c r="A1170" s="4" t="s">
        <v>407</v>
      </c>
      <c r="B1170" s="4" t="s">
        <v>380</v>
      </c>
      <c r="C1170" s="6" t="n">
        <v>18.268</v>
      </c>
      <c r="D1170" s="4" t="s">
        <v>460</v>
      </c>
      <c r="E1170" s="18" t="s">
        <v>71</v>
      </c>
    </row>
    <row r="1171" customFormat="false" ht="15" hidden="false" customHeight="true" outlineLevel="0" collapsed="false">
      <c r="A1171" s="4" t="s">
        <v>407</v>
      </c>
      <c r="B1171" s="4" t="s">
        <v>380</v>
      </c>
      <c r="C1171" s="6" t="n">
        <v>18.301</v>
      </c>
      <c r="D1171" s="4" t="s">
        <v>456</v>
      </c>
      <c r="E1171" s="18" t="s">
        <v>482</v>
      </c>
    </row>
    <row r="1172" customFormat="false" ht="15" hidden="false" customHeight="true" outlineLevel="0" collapsed="false">
      <c r="A1172" s="4" t="s">
        <v>407</v>
      </c>
      <c r="B1172" s="4" t="s">
        <v>380</v>
      </c>
      <c r="C1172" s="6" t="n">
        <v>25.562</v>
      </c>
      <c r="D1172" s="4" t="s">
        <v>456</v>
      </c>
      <c r="E1172" s="18" t="s">
        <v>501</v>
      </c>
    </row>
    <row r="1173" customFormat="false" ht="15" hidden="false" customHeight="true" outlineLevel="0" collapsed="false">
      <c r="A1173" s="4" t="s">
        <v>407</v>
      </c>
      <c r="B1173" s="4" t="s">
        <v>380</v>
      </c>
      <c r="C1173" s="6" t="n">
        <v>30.957</v>
      </c>
      <c r="D1173" s="17" t="s">
        <v>455</v>
      </c>
      <c r="E1173" s="18" t="s">
        <v>835</v>
      </c>
    </row>
    <row r="1174" customFormat="false" ht="15" hidden="false" customHeight="true" outlineLevel="0" collapsed="false">
      <c r="A1174" s="4" t="s">
        <v>407</v>
      </c>
      <c r="B1174" s="4" t="s">
        <v>380</v>
      </c>
      <c r="C1174" s="6" t="n">
        <v>32.019</v>
      </c>
      <c r="D1174" s="4" t="s">
        <v>456</v>
      </c>
      <c r="E1174" s="18" t="s">
        <v>836</v>
      </c>
    </row>
    <row r="1175" customFormat="false" ht="15" hidden="false" customHeight="true" outlineLevel="0" collapsed="false">
      <c r="A1175" s="4" t="s">
        <v>407</v>
      </c>
      <c r="B1175" s="4" t="s">
        <v>380</v>
      </c>
      <c r="C1175" s="6" t="n">
        <v>38.826</v>
      </c>
      <c r="D1175" s="17" t="s">
        <v>455</v>
      </c>
      <c r="E1175" s="18" t="s">
        <v>837</v>
      </c>
    </row>
    <row r="1176" customFormat="false" ht="15" hidden="false" customHeight="true" outlineLevel="0" collapsed="false">
      <c r="A1176" s="4" t="s">
        <v>407</v>
      </c>
      <c r="B1176" s="4" t="s">
        <v>380</v>
      </c>
      <c r="C1176" s="6" t="n">
        <v>40.151</v>
      </c>
      <c r="D1176" s="4" t="s">
        <v>460</v>
      </c>
      <c r="E1176" s="18" t="s">
        <v>471</v>
      </c>
    </row>
    <row r="1177" customFormat="false" ht="15" hidden="false" customHeight="true" outlineLevel="0" collapsed="false">
      <c r="A1177" s="4" t="s">
        <v>407</v>
      </c>
      <c r="B1177" s="4" t="s">
        <v>380</v>
      </c>
      <c r="C1177" s="6" t="n">
        <v>43.222</v>
      </c>
      <c r="D1177" s="4" t="s">
        <v>456</v>
      </c>
      <c r="E1177" s="18" t="s">
        <v>498</v>
      </c>
    </row>
    <row r="1178" customFormat="false" ht="15" hidden="false" customHeight="true" outlineLevel="0" collapsed="false">
      <c r="A1178" s="4" t="s">
        <v>407</v>
      </c>
      <c r="B1178" s="4" t="s">
        <v>380</v>
      </c>
      <c r="C1178" s="6" t="n">
        <v>50.281</v>
      </c>
      <c r="D1178" s="17" t="s">
        <v>455</v>
      </c>
      <c r="E1178" s="18" t="s">
        <v>466</v>
      </c>
    </row>
    <row r="1179" customFormat="false" ht="15" hidden="false" customHeight="true" outlineLevel="0" collapsed="false">
      <c r="A1179" s="4" t="s">
        <v>407</v>
      </c>
      <c r="B1179" s="4" t="s">
        <v>380</v>
      </c>
      <c r="C1179" s="6" t="n">
        <v>50.287</v>
      </c>
      <c r="D1179" s="4" t="s">
        <v>460</v>
      </c>
      <c r="E1179" s="18" t="s">
        <v>467</v>
      </c>
    </row>
    <row r="1180" customFormat="false" ht="15" hidden="false" customHeight="true" outlineLevel="0" collapsed="false">
      <c r="A1180" s="4" t="s">
        <v>407</v>
      </c>
      <c r="B1180" s="4" t="s">
        <v>380</v>
      </c>
      <c r="C1180" s="6" t="n">
        <v>50.344</v>
      </c>
      <c r="D1180" s="4" t="s">
        <v>456</v>
      </c>
      <c r="E1180" s="18" t="s">
        <v>468</v>
      </c>
    </row>
    <row r="1181" customFormat="false" ht="15" hidden="false" customHeight="true" outlineLevel="0" collapsed="false">
      <c r="A1181" s="4" t="s">
        <v>407</v>
      </c>
      <c r="B1181" s="4" t="s">
        <v>380</v>
      </c>
      <c r="C1181" s="6" t="n">
        <v>54.305</v>
      </c>
      <c r="D1181" s="4" t="s">
        <v>456</v>
      </c>
      <c r="E1181" s="18" t="s">
        <v>500</v>
      </c>
    </row>
    <row r="1182" customFormat="false" ht="15" hidden="false" customHeight="true" outlineLevel="0" collapsed="false">
      <c r="A1182" s="4" t="s">
        <v>410</v>
      </c>
      <c r="B1182" s="4" t="s">
        <v>380</v>
      </c>
      <c r="C1182" s="6" t="n">
        <v>7.144</v>
      </c>
      <c r="D1182" s="17" t="s">
        <v>455</v>
      </c>
      <c r="E1182" s="18" t="s">
        <v>411</v>
      </c>
    </row>
    <row r="1183" customFormat="false" ht="15" hidden="false" customHeight="true" outlineLevel="0" collapsed="false">
      <c r="A1183" s="4" t="s">
        <v>410</v>
      </c>
      <c r="B1183" s="4" t="s">
        <v>380</v>
      </c>
      <c r="C1183" s="6" t="n">
        <v>8.438</v>
      </c>
      <c r="D1183" s="4" t="s">
        <v>456</v>
      </c>
      <c r="E1183" s="18" t="s">
        <v>661</v>
      </c>
    </row>
    <row r="1184" customFormat="false" ht="15" hidden="false" customHeight="true" outlineLevel="0" collapsed="false">
      <c r="A1184" s="4" t="s">
        <v>410</v>
      </c>
      <c r="B1184" s="4" t="s">
        <v>380</v>
      </c>
      <c r="C1184" s="6" t="n">
        <v>16.657</v>
      </c>
      <c r="D1184" s="17" t="s">
        <v>455</v>
      </c>
      <c r="E1184" s="18" t="s">
        <v>838</v>
      </c>
    </row>
    <row r="1185" customFormat="false" ht="15" hidden="false" customHeight="true" outlineLevel="0" collapsed="false">
      <c r="A1185" s="4" t="s">
        <v>410</v>
      </c>
      <c r="B1185" s="4" t="s">
        <v>380</v>
      </c>
      <c r="C1185" s="6" t="n">
        <v>18.569</v>
      </c>
      <c r="D1185" s="4" t="s">
        <v>456</v>
      </c>
      <c r="E1185" s="18" t="s">
        <v>839</v>
      </c>
    </row>
    <row r="1186" customFormat="false" ht="15" hidden="false" customHeight="true" outlineLevel="0" collapsed="false">
      <c r="A1186" s="4" t="s">
        <v>410</v>
      </c>
      <c r="B1186" s="4" t="s">
        <v>380</v>
      </c>
      <c r="C1186" s="6" t="n">
        <v>30.475</v>
      </c>
      <c r="D1186" s="17" t="s">
        <v>455</v>
      </c>
      <c r="E1186" s="18" t="s">
        <v>840</v>
      </c>
    </row>
    <row r="1187" customFormat="false" ht="15" hidden="false" customHeight="true" outlineLevel="0" collapsed="false">
      <c r="A1187" s="4" t="s">
        <v>410</v>
      </c>
      <c r="B1187" s="4" t="s">
        <v>380</v>
      </c>
      <c r="C1187" s="6" t="n">
        <v>31.602</v>
      </c>
      <c r="D1187" s="4" t="s">
        <v>456</v>
      </c>
      <c r="E1187" s="18" t="s">
        <v>841</v>
      </c>
    </row>
    <row r="1188" customFormat="false" ht="15" hidden="false" customHeight="true" outlineLevel="0" collapsed="false">
      <c r="A1188" s="4" t="s">
        <v>410</v>
      </c>
      <c r="B1188" s="4" t="s">
        <v>380</v>
      </c>
      <c r="C1188" s="6" t="n">
        <v>34.245</v>
      </c>
      <c r="D1188" s="4" t="s">
        <v>456</v>
      </c>
      <c r="E1188" s="18" t="s">
        <v>842</v>
      </c>
    </row>
    <row r="1189" customFormat="false" ht="15" hidden="false" customHeight="true" outlineLevel="0" collapsed="false">
      <c r="A1189" s="4" t="s">
        <v>410</v>
      </c>
      <c r="B1189" s="4" t="s">
        <v>380</v>
      </c>
      <c r="C1189" s="6" t="n">
        <v>40.983</v>
      </c>
      <c r="D1189" s="4" t="s">
        <v>456</v>
      </c>
      <c r="E1189" s="18" t="s">
        <v>843</v>
      </c>
    </row>
    <row r="1190" customFormat="false" ht="15" hidden="false" customHeight="true" outlineLevel="0" collapsed="false">
      <c r="A1190" s="4" t="s">
        <v>410</v>
      </c>
      <c r="B1190" s="4" t="s">
        <v>380</v>
      </c>
      <c r="C1190" s="6" t="n">
        <v>52.49</v>
      </c>
      <c r="D1190" s="17" t="s">
        <v>455</v>
      </c>
      <c r="E1190" s="18" t="s">
        <v>844</v>
      </c>
    </row>
    <row r="1191" customFormat="false" ht="15" hidden="false" customHeight="true" outlineLevel="0" collapsed="false">
      <c r="A1191" s="4" t="s">
        <v>410</v>
      </c>
      <c r="B1191" s="4" t="s">
        <v>380</v>
      </c>
      <c r="C1191" s="6" t="n">
        <v>53.806</v>
      </c>
      <c r="D1191" s="4" t="s">
        <v>456</v>
      </c>
      <c r="E1191" s="18" t="s">
        <v>845</v>
      </c>
    </row>
    <row r="1192" customFormat="false" ht="15" hidden="false" customHeight="true" outlineLevel="0" collapsed="false">
      <c r="A1192" s="4" t="s">
        <v>410</v>
      </c>
      <c r="B1192" s="4" t="s">
        <v>380</v>
      </c>
      <c r="C1192" s="6" t="n">
        <v>63.47</v>
      </c>
      <c r="D1192" s="17" t="s">
        <v>455</v>
      </c>
      <c r="E1192" s="18" t="s">
        <v>846</v>
      </c>
    </row>
    <row r="1193" customFormat="false" ht="15" hidden="false" customHeight="true" outlineLevel="0" collapsed="false">
      <c r="A1193" s="4" t="s">
        <v>410</v>
      </c>
      <c r="B1193" s="4" t="s">
        <v>380</v>
      </c>
      <c r="C1193" s="6" t="n">
        <v>65.214</v>
      </c>
      <c r="D1193" s="4" t="s">
        <v>456</v>
      </c>
      <c r="E1193" s="18" t="s">
        <v>847</v>
      </c>
    </row>
    <row r="1194" customFormat="false" ht="15" hidden="false" customHeight="true" outlineLevel="0" collapsed="false">
      <c r="A1194" s="4" t="s">
        <v>410</v>
      </c>
      <c r="B1194" s="4" t="s">
        <v>380</v>
      </c>
      <c r="C1194" s="6" t="n">
        <v>68.688</v>
      </c>
      <c r="D1194" s="4" t="s">
        <v>456</v>
      </c>
      <c r="E1194" s="18" t="s">
        <v>848</v>
      </c>
    </row>
    <row r="1195" customFormat="false" ht="15" hidden="false" customHeight="false" outlineLevel="0" collapsed="false">
      <c r="A1195" s="4" t="s">
        <v>415</v>
      </c>
      <c r="B1195" s="4" t="s">
        <v>380</v>
      </c>
      <c r="C1195" s="6" t="n">
        <v>4.585</v>
      </c>
      <c r="D1195" s="17" t="s">
        <v>455</v>
      </c>
      <c r="E1195" s="18" t="s">
        <v>416</v>
      </c>
    </row>
    <row r="1196" customFormat="false" ht="15" hidden="false" customHeight="false" outlineLevel="0" collapsed="false">
      <c r="A1196" s="4" t="s">
        <v>415</v>
      </c>
      <c r="B1196" s="4" t="s">
        <v>380</v>
      </c>
      <c r="C1196" s="6" t="n">
        <v>5.773</v>
      </c>
      <c r="D1196" s="4" t="s">
        <v>460</v>
      </c>
      <c r="E1196" s="18" t="s">
        <v>493</v>
      </c>
    </row>
    <row r="1197" customFormat="false" ht="15" hidden="false" customHeight="false" outlineLevel="0" collapsed="false">
      <c r="A1197" s="4" t="s">
        <v>415</v>
      </c>
      <c r="B1197" s="4" t="s">
        <v>380</v>
      </c>
      <c r="C1197" s="6" t="n">
        <v>7.684</v>
      </c>
      <c r="D1197" s="4" t="s">
        <v>456</v>
      </c>
      <c r="E1197" s="18" t="s">
        <v>494</v>
      </c>
    </row>
    <row r="1198" customFormat="false" ht="15" hidden="false" customHeight="false" outlineLevel="0" collapsed="false">
      <c r="A1198" s="4" t="s">
        <v>415</v>
      </c>
      <c r="B1198" s="4" t="s">
        <v>380</v>
      </c>
      <c r="C1198" s="6" t="n">
        <v>12.327</v>
      </c>
      <c r="D1198" s="4" t="s">
        <v>456</v>
      </c>
      <c r="E1198" s="18" t="s">
        <v>495</v>
      </c>
    </row>
    <row r="1199" customFormat="false" ht="15" hidden="false" customHeight="false" outlineLevel="0" collapsed="false">
      <c r="A1199" s="4" t="s">
        <v>415</v>
      </c>
      <c r="B1199" s="4" t="s">
        <v>380</v>
      </c>
      <c r="C1199" s="6" t="n">
        <v>21.721</v>
      </c>
      <c r="D1199" s="17" t="s">
        <v>455</v>
      </c>
      <c r="E1199" s="18" t="s">
        <v>849</v>
      </c>
    </row>
    <row r="1200" customFormat="false" ht="15" hidden="false" customHeight="false" outlineLevel="0" collapsed="false">
      <c r="A1200" s="4" t="s">
        <v>415</v>
      </c>
      <c r="B1200" s="4" t="s">
        <v>380</v>
      </c>
      <c r="C1200" s="6" t="n">
        <v>22.742</v>
      </c>
      <c r="D1200" s="4" t="s">
        <v>460</v>
      </c>
      <c r="E1200" s="18" t="s">
        <v>57</v>
      </c>
    </row>
    <row r="1201" customFormat="false" ht="15" hidden="false" customHeight="false" outlineLevel="0" collapsed="false">
      <c r="A1201" s="4" t="s">
        <v>415</v>
      </c>
      <c r="B1201" s="4" t="s">
        <v>380</v>
      </c>
      <c r="C1201" s="6" t="n">
        <v>22.809</v>
      </c>
      <c r="D1201" s="4" t="s">
        <v>456</v>
      </c>
      <c r="E1201" s="18" t="s">
        <v>464</v>
      </c>
    </row>
    <row r="1202" customFormat="false" ht="15" hidden="false" customHeight="false" outlineLevel="0" collapsed="false">
      <c r="A1202" s="4" t="s">
        <v>415</v>
      </c>
      <c r="B1202" s="4" t="s">
        <v>380</v>
      </c>
      <c r="C1202" s="6" t="n">
        <v>28.265</v>
      </c>
      <c r="D1202" s="4" t="s">
        <v>456</v>
      </c>
      <c r="E1202" s="18" t="s">
        <v>509</v>
      </c>
    </row>
    <row r="1203" customFormat="false" ht="15" hidden="false" customHeight="false" outlineLevel="0" collapsed="false">
      <c r="A1203" s="4" t="s">
        <v>415</v>
      </c>
      <c r="B1203" s="4" t="s">
        <v>380</v>
      </c>
      <c r="C1203" s="6" t="n">
        <v>35.917</v>
      </c>
      <c r="D1203" s="17" t="s">
        <v>455</v>
      </c>
      <c r="E1203" s="18" t="s">
        <v>516</v>
      </c>
    </row>
    <row r="1204" customFormat="false" ht="15" hidden="false" customHeight="false" outlineLevel="0" collapsed="false">
      <c r="A1204" s="4" t="s">
        <v>415</v>
      </c>
      <c r="B1204" s="4" t="s">
        <v>380</v>
      </c>
      <c r="C1204" s="6" t="n">
        <v>35.932</v>
      </c>
      <c r="D1204" s="4" t="s">
        <v>460</v>
      </c>
      <c r="E1204" s="18" t="s">
        <v>467</v>
      </c>
    </row>
    <row r="1205" customFormat="false" ht="15" hidden="false" customHeight="false" outlineLevel="0" collapsed="false">
      <c r="A1205" s="4" t="s">
        <v>415</v>
      </c>
      <c r="B1205" s="4" t="s">
        <v>380</v>
      </c>
      <c r="C1205" s="6" t="n">
        <v>36.006</v>
      </c>
      <c r="D1205" s="4" t="s">
        <v>456</v>
      </c>
      <c r="E1205" s="18" t="s">
        <v>468</v>
      </c>
    </row>
    <row r="1206" customFormat="false" ht="15" hidden="false" customHeight="false" outlineLevel="0" collapsed="false">
      <c r="A1206" s="4" t="s">
        <v>415</v>
      </c>
      <c r="B1206" s="4" t="s">
        <v>380</v>
      </c>
      <c r="C1206" s="6" t="n">
        <v>39.572</v>
      </c>
      <c r="D1206" s="4" t="s">
        <v>456</v>
      </c>
      <c r="E1206" s="18" t="s">
        <v>469</v>
      </c>
    </row>
    <row r="1207" customFormat="false" ht="15" hidden="false" customHeight="false" outlineLevel="0" collapsed="false">
      <c r="A1207" s="4" t="s">
        <v>415</v>
      </c>
      <c r="B1207" s="4" t="s">
        <v>380</v>
      </c>
      <c r="C1207" s="6" t="n">
        <v>46.695</v>
      </c>
      <c r="D1207" s="17" t="s">
        <v>455</v>
      </c>
      <c r="E1207" s="18" t="s">
        <v>487</v>
      </c>
    </row>
    <row r="1208" customFormat="false" ht="15" hidden="false" customHeight="false" outlineLevel="0" collapsed="false">
      <c r="A1208" s="4" t="s">
        <v>415</v>
      </c>
      <c r="B1208" s="4" t="s">
        <v>380</v>
      </c>
      <c r="C1208" s="6" t="n">
        <v>46.717</v>
      </c>
      <c r="D1208" s="4" t="s">
        <v>460</v>
      </c>
      <c r="E1208" s="18" t="s">
        <v>471</v>
      </c>
    </row>
    <row r="1209" customFormat="false" ht="15" hidden="false" customHeight="false" outlineLevel="0" collapsed="false">
      <c r="A1209" s="4" t="s">
        <v>415</v>
      </c>
      <c r="B1209" s="4" t="s">
        <v>380</v>
      </c>
      <c r="C1209" s="6" t="n">
        <v>46.752</v>
      </c>
      <c r="D1209" s="4" t="s">
        <v>456</v>
      </c>
      <c r="E1209" s="18" t="s">
        <v>472</v>
      </c>
    </row>
    <row r="1210" customFormat="false" ht="15" hidden="false" customHeight="false" outlineLevel="0" collapsed="false">
      <c r="A1210" s="4" t="s">
        <v>415</v>
      </c>
      <c r="B1210" s="4" t="s">
        <v>380</v>
      </c>
      <c r="C1210" s="6" t="n">
        <v>52.244</v>
      </c>
      <c r="D1210" s="4" t="s">
        <v>456</v>
      </c>
      <c r="E1210" s="18" t="s">
        <v>473</v>
      </c>
    </row>
    <row r="1211" customFormat="false" ht="15" hidden="false" customHeight="false" outlineLevel="0" collapsed="false">
      <c r="A1211" s="4" t="s">
        <v>415</v>
      </c>
      <c r="B1211" s="4" t="s">
        <v>380</v>
      </c>
      <c r="C1211" s="6" t="n">
        <v>60.118</v>
      </c>
      <c r="D1211" s="17" t="s">
        <v>455</v>
      </c>
      <c r="E1211" s="18" t="s">
        <v>850</v>
      </c>
    </row>
  </sheetData>
  <autoFilter ref="A1:E12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6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5"/>
    <col collapsed="false" customWidth="true" hidden="false" outlineLevel="0" max="4" min="4" style="1" width="11"/>
    <col collapsed="false" customWidth="true" hidden="false" outlineLevel="0" max="6" min="5" style="1" width="46"/>
    <col collapsed="false" customWidth="true" hidden="false" outlineLevel="0" max="7" min="7" style="1" width="22"/>
    <col collapsed="false" customWidth="true" hidden="false" outlineLevel="0" max="9" min="8" style="1" width="11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851</v>
      </c>
      <c r="D1" s="2" t="s">
        <v>852</v>
      </c>
      <c r="E1" s="2" t="s">
        <v>853</v>
      </c>
      <c r="F1" s="2" t="s">
        <v>854</v>
      </c>
      <c r="G1" s="2" t="s">
        <v>855</v>
      </c>
      <c r="H1" s="2" t="s">
        <v>856</v>
      </c>
      <c r="I1" s="2" t="s">
        <v>857</v>
      </c>
    </row>
    <row r="2" customFormat="false" ht="15" hidden="false" customHeight="true" outlineLevel="0" collapsed="false">
      <c r="A2" s="4" t="s">
        <v>53</v>
      </c>
      <c r="B2" s="4" t="s">
        <v>36</v>
      </c>
      <c r="C2" s="4" t="n">
        <v>1</v>
      </c>
      <c r="D2" s="6" t="n">
        <v>4.49531531333923</v>
      </c>
      <c r="E2" s="18" t="s">
        <v>62</v>
      </c>
      <c r="F2" s="18" t="s">
        <v>56</v>
      </c>
      <c r="G2" s="4" t="s">
        <v>858</v>
      </c>
      <c r="H2" s="4" t="s">
        <v>859</v>
      </c>
      <c r="I2" s="4"/>
    </row>
    <row r="3" customFormat="false" ht="15" hidden="false" customHeight="true" outlineLevel="0" collapsed="false">
      <c r="A3" s="4" t="s">
        <v>53</v>
      </c>
      <c r="B3" s="4" t="s">
        <v>36</v>
      </c>
      <c r="C3" s="4" t="n">
        <v>2</v>
      </c>
      <c r="D3" s="6" t="n">
        <v>20.8553152084351</v>
      </c>
      <c r="E3" s="18" t="s">
        <v>222</v>
      </c>
      <c r="F3" s="18" t="s">
        <v>86</v>
      </c>
      <c r="G3" s="4" t="s">
        <v>57</v>
      </c>
      <c r="H3" s="4" t="s">
        <v>860</v>
      </c>
      <c r="I3" s="4"/>
    </row>
    <row r="4" customFormat="false" ht="15" hidden="false" customHeight="true" outlineLevel="0" collapsed="false">
      <c r="A4" s="4" t="s">
        <v>53</v>
      </c>
      <c r="B4" s="4" t="s">
        <v>36</v>
      </c>
      <c r="C4" s="4" t="n">
        <v>3</v>
      </c>
      <c r="D4" s="6" t="n">
        <v>34.9433152675629</v>
      </c>
      <c r="E4" s="18" t="s">
        <v>861</v>
      </c>
      <c r="F4" s="18" t="s">
        <v>466</v>
      </c>
      <c r="G4" s="4" t="s">
        <v>467</v>
      </c>
      <c r="H4" s="4" t="s">
        <v>862</v>
      </c>
      <c r="I4" s="4"/>
    </row>
    <row r="5" customFormat="false" ht="15" hidden="false" customHeight="true" outlineLevel="0" collapsed="false">
      <c r="A5" s="4" t="s">
        <v>53</v>
      </c>
      <c r="B5" s="4" t="s">
        <v>36</v>
      </c>
      <c r="C5" s="4" t="n">
        <v>4</v>
      </c>
      <c r="D5" s="6" t="n">
        <v>43.9573152065277</v>
      </c>
      <c r="E5" s="18" t="s">
        <v>863</v>
      </c>
      <c r="F5" s="18" t="s">
        <v>470</v>
      </c>
      <c r="G5" s="4" t="s">
        <v>471</v>
      </c>
      <c r="H5" s="4" t="s">
        <v>864</v>
      </c>
      <c r="I5" s="4"/>
    </row>
    <row r="6" customFormat="false" ht="15" hidden="false" customHeight="true" outlineLevel="0" collapsed="false">
      <c r="A6" s="4" t="s">
        <v>66</v>
      </c>
      <c r="B6" s="4" t="s">
        <v>36</v>
      </c>
      <c r="C6" s="4" t="n">
        <v>1</v>
      </c>
      <c r="D6" s="6" t="n">
        <v>11.7049963474274</v>
      </c>
      <c r="E6" s="18" t="s">
        <v>80</v>
      </c>
      <c r="F6" s="18" t="s">
        <v>69</v>
      </c>
      <c r="G6" s="4" t="s">
        <v>858</v>
      </c>
      <c r="H6" s="4"/>
      <c r="I6" s="4" t="s">
        <v>58</v>
      </c>
    </row>
    <row r="7" customFormat="false" ht="15" hidden="false" customHeight="true" outlineLevel="0" collapsed="false">
      <c r="A7" s="4" t="s">
        <v>66</v>
      </c>
      <c r="B7" s="4" t="s">
        <v>36</v>
      </c>
      <c r="C7" s="4" t="n">
        <v>2</v>
      </c>
      <c r="D7" s="6" t="n">
        <v>21.5759961605072</v>
      </c>
      <c r="E7" s="18" t="s">
        <v>73</v>
      </c>
      <c r="F7" s="18" t="s">
        <v>476</v>
      </c>
      <c r="G7" s="4" t="s">
        <v>858</v>
      </c>
      <c r="H7" s="4" t="s">
        <v>865</v>
      </c>
      <c r="I7" s="4"/>
    </row>
    <row r="8" customFormat="false" ht="15" hidden="false" customHeight="true" outlineLevel="0" collapsed="false">
      <c r="A8" s="4" t="s">
        <v>66</v>
      </c>
      <c r="B8" s="4" t="s">
        <v>36</v>
      </c>
      <c r="C8" s="4" t="n">
        <v>3</v>
      </c>
      <c r="D8" s="6" t="n">
        <v>35.0689961910248</v>
      </c>
      <c r="E8" s="18" t="s">
        <v>866</v>
      </c>
      <c r="F8" s="18" t="s">
        <v>481</v>
      </c>
      <c r="G8" s="4" t="s">
        <v>71</v>
      </c>
      <c r="H8" s="4" t="s">
        <v>867</v>
      </c>
      <c r="I8" s="4"/>
    </row>
    <row r="9" customFormat="false" ht="15" hidden="false" customHeight="true" outlineLevel="0" collapsed="false">
      <c r="A9" s="4" t="s">
        <v>66</v>
      </c>
      <c r="B9" s="4" t="s">
        <v>36</v>
      </c>
      <c r="C9" s="4" t="n">
        <v>4</v>
      </c>
      <c r="D9" s="6" t="n">
        <v>47.2689962387085</v>
      </c>
      <c r="E9" s="18" t="s">
        <v>861</v>
      </c>
      <c r="F9" s="18" t="s">
        <v>484</v>
      </c>
      <c r="G9" s="4" t="s">
        <v>467</v>
      </c>
      <c r="H9" s="4" t="s">
        <v>868</v>
      </c>
      <c r="I9" s="4"/>
    </row>
    <row r="10" customFormat="false" ht="15" hidden="false" customHeight="true" outlineLevel="0" collapsed="false">
      <c r="A10" s="4" t="s">
        <v>66</v>
      </c>
      <c r="B10" s="4" t="s">
        <v>36</v>
      </c>
      <c r="C10" s="4" t="n">
        <v>5</v>
      </c>
      <c r="D10" s="6" t="n">
        <v>56.8929963111877</v>
      </c>
      <c r="E10" s="18" t="s">
        <v>863</v>
      </c>
      <c r="F10" s="18" t="s">
        <v>470</v>
      </c>
      <c r="G10" s="4" t="s">
        <v>471</v>
      </c>
      <c r="H10" s="4" t="s">
        <v>869</v>
      </c>
      <c r="I10" s="4"/>
    </row>
    <row r="11" customFormat="false" ht="15" hidden="false" customHeight="true" outlineLevel="0" collapsed="false">
      <c r="A11" s="4" t="s">
        <v>75</v>
      </c>
      <c r="B11" s="4" t="s">
        <v>36</v>
      </c>
      <c r="C11" s="4" t="n">
        <v>1</v>
      </c>
      <c r="D11" s="6" t="n">
        <v>4.32517600059509</v>
      </c>
      <c r="E11" s="18" t="s">
        <v>80</v>
      </c>
      <c r="F11" s="18" t="s">
        <v>69</v>
      </c>
      <c r="G11" s="4" t="s">
        <v>858</v>
      </c>
      <c r="H11" s="4" t="s">
        <v>870</v>
      </c>
      <c r="I11" s="4"/>
    </row>
    <row r="12" customFormat="false" ht="15" hidden="false" customHeight="true" outlineLevel="0" collapsed="false">
      <c r="A12" s="4" t="s">
        <v>75</v>
      </c>
      <c r="B12" s="4" t="s">
        <v>36</v>
      </c>
      <c r="C12" s="4" t="n">
        <v>2</v>
      </c>
      <c r="D12" s="6" t="n">
        <v>26.3891761302948</v>
      </c>
      <c r="E12" s="18" t="s">
        <v>222</v>
      </c>
      <c r="F12" s="18" t="s">
        <v>86</v>
      </c>
      <c r="G12" s="4" t="s">
        <v>57</v>
      </c>
      <c r="H12" s="4" t="s">
        <v>871</v>
      </c>
      <c r="I12" s="4"/>
    </row>
    <row r="13" customFormat="false" ht="15" hidden="false" customHeight="true" outlineLevel="0" collapsed="false">
      <c r="A13" s="4" t="s">
        <v>75</v>
      </c>
      <c r="B13" s="4" t="s">
        <v>36</v>
      </c>
      <c r="C13" s="4" t="n">
        <v>3</v>
      </c>
      <c r="D13" s="6" t="n">
        <v>40.2111759185791</v>
      </c>
      <c r="E13" s="18" t="s">
        <v>861</v>
      </c>
      <c r="F13" s="18" t="s">
        <v>486</v>
      </c>
      <c r="G13" s="4" t="s">
        <v>467</v>
      </c>
      <c r="H13" s="4" t="s">
        <v>872</v>
      </c>
      <c r="I13" s="4"/>
    </row>
    <row r="14" customFormat="false" ht="15" hidden="false" customHeight="true" outlineLevel="0" collapsed="false">
      <c r="A14" s="4" t="s">
        <v>75</v>
      </c>
      <c r="B14" s="4" t="s">
        <v>36</v>
      </c>
      <c r="C14" s="4" t="n">
        <v>4</v>
      </c>
      <c r="D14" s="6" t="n">
        <v>48.1921761035919</v>
      </c>
      <c r="E14" s="18" t="s">
        <v>863</v>
      </c>
      <c r="F14" s="18" t="s">
        <v>487</v>
      </c>
      <c r="G14" s="4" t="s">
        <v>471</v>
      </c>
      <c r="H14" s="4" t="s">
        <v>873</v>
      </c>
      <c r="I14" s="4"/>
    </row>
    <row r="15" customFormat="false" ht="15" hidden="false" customHeight="true" outlineLevel="0" collapsed="false">
      <c r="A15" s="4" t="s">
        <v>82</v>
      </c>
      <c r="B15" s="4" t="s">
        <v>36</v>
      </c>
      <c r="C15" s="4" t="n">
        <v>1</v>
      </c>
      <c r="D15" s="6" t="n">
        <v>-0.225819587707519</v>
      </c>
      <c r="E15" s="18" t="s">
        <v>62</v>
      </c>
      <c r="F15" s="18" t="s">
        <v>874</v>
      </c>
      <c r="G15" s="4" t="s">
        <v>858</v>
      </c>
      <c r="H15" s="4" t="s">
        <v>875</v>
      </c>
      <c r="I15" s="4"/>
    </row>
    <row r="16" customFormat="false" ht="15" hidden="false" customHeight="true" outlineLevel="0" collapsed="false">
      <c r="A16" s="4" t="s">
        <v>82</v>
      </c>
      <c r="B16" s="4" t="s">
        <v>36</v>
      </c>
      <c r="C16" s="4" t="n">
        <v>2</v>
      </c>
      <c r="D16" s="6" t="n">
        <v>27.6293661594391</v>
      </c>
      <c r="E16" s="18" t="s">
        <v>222</v>
      </c>
      <c r="F16" s="18" t="s">
        <v>86</v>
      </c>
      <c r="G16" s="4" t="s">
        <v>57</v>
      </c>
      <c r="H16" s="4" t="s">
        <v>876</v>
      </c>
      <c r="I16" s="4"/>
    </row>
    <row r="17" customFormat="false" ht="15" hidden="false" customHeight="true" outlineLevel="0" collapsed="false">
      <c r="A17" s="4" t="s">
        <v>82</v>
      </c>
      <c r="B17" s="4" t="s">
        <v>36</v>
      </c>
      <c r="C17" s="4" t="n">
        <v>3</v>
      </c>
      <c r="D17" s="6" t="n">
        <v>43.8613660335541</v>
      </c>
      <c r="E17" s="18" t="s">
        <v>861</v>
      </c>
      <c r="F17" s="18" t="s">
        <v>488</v>
      </c>
      <c r="G17" s="4" t="s">
        <v>467</v>
      </c>
      <c r="H17" s="4" t="s">
        <v>877</v>
      </c>
      <c r="I17" s="4"/>
    </row>
    <row r="18" customFormat="false" ht="15" hidden="false" customHeight="true" outlineLevel="0" collapsed="false">
      <c r="A18" s="4" t="s">
        <v>449</v>
      </c>
      <c r="B18" s="4" t="s">
        <v>36</v>
      </c>
      <c r="C18" s="4" t="n">
        <v>1</v>
      </c>
      <c r="D18" s="6" t="n">
        <v>8.60157752037048</v>
      </c>
      <c r="E18" s="18" t="s">
        <v>102</v>
      </c>
      <c r="F18" s="18" t="s">
        <v>98</v>
      </c>
      <c r="G18" s="4" t="s">
        <v>858</v>
      </c>
      <c r="H18" s="4" t="s">
        <v>878</v>
      </c>
      <c r="I18" s="4"/>
    </row>
    <row r="19" customFormat="false" ht="15" hidden="false" customHeight="true" outlineLevel="0" collapsed="false">
      <c r="A19" s="4" t="s">
        <v>449</v>
      </c>
      <c r="B19" s="4" t="s">
        <v>36</v>
      </c>
      <c r="C19" s="4" t="n">
        <v>2</v>
      </c>
      <c r="D19" s="6" t="n">
        <v>33.0625774860382</v>
      </c>
      <c r="E19" s="18" t="s">
        <v>863</v>
      </c>
      <c r="F19" s="18" t="s">
        <v>496</v>
      </c>
      <c r="G19" s="4" t="s">
        <v>471</v>
      </c>
      <c r="H19" s="4" t="s">
        <v>879</v>
      </c>
      <c r="I19" s="4"/>
    </row>
    <row r="20" customFormat="false" ht="15" hidden="false" customHeight="true" outlineLevel="0" collapsed="false">
      <c r="A20" s="4" t="s">
        <v>449</v>
      </c>
      <c r="B20" s="4" t="s">
        <v>36</v>
      </c>
      <c r="C20" s="4" t="n">
        <v>3</v>
      </c>
      <c r="D20" s="6" t="n">
        <v>34.5415775775909</v>
      </c>
      <c r="E20" s="18" t="s">
        <v>863</v>
      </c>
      <c r="F20" s="18" t="s">
        <v>497</v>
      </c>
      <c r="G20" s="4" t="s">
        <v>471</v>
      </c>
      <c r="H20" s="4" t="s">
        <v>880</v>
      </c>
      <c r="I20" s="4"/>
    </row>
    <row r="21" customFormat="false" ht="15" hidden="false" customHeight="true" outlineLevel="0" collapsed="false">
      <c r="A21" s="4" t="s">
        <v>449</v>
      </c>
      <c r="B21" s="4" t="s">
        <v>36</v>
      </c>
      <c r="C21" s="4" t="n">
        <v>4</v>
      </c>
      <c r="D21" s="6" t="n">
        <v>48.7405774593353</v>
      </c>
      <c r="E21" s="18" t="s">
        <v>861</v>
      </c>
      <c r="F21" s="18" t="s">
        <v>499</v>
      </c>
      <c r="G21" s="4" t="s">
        <v>467</v>
      </c>
      <c r="H21" s="4" t="s">
        <v>881</v>
      </c>
      <c r="I21" s="4"/>
    </row>
    <row r="22" customFormat="false" ht="15" hidden="false" customHeight="true" outlineLevel="0" collapsed="false">
      <c r="A22" s="4" t="s">
        <v>97</v>
      </c>
      <c r="B22" s="4" t="s">
        <v>36</v>
      </c>
      <c r="C22" s="4" t="n">
        <v>1</v>
      </c>
      <c r="D22" s="6" t="n">
        <v>7.80811095237732</v>
      </c>
      <c r="E22" s="18" t="s">
        <v>102</v>
      </c>
      <c r="F22" s="18" t="s">
        <v>98</v>
      </c>
      <c r="G22" s="4" t="s">
        <v>858</v>
      </c>
      <c r="H22" s="4" t="s">
        <v>882</v>
      </c>
      <c r="I22" s="4"/>
    </row>
    <row r="23" customFormat="false" ht="15" hidden="false" customHeight="true" outlineLevel="0" collapsed="false">
      <c r="A23" s="4" t="s">
        <v>97</v>
      </c>
      <c r="B23" s="4" t="s">
        <v>36</v>
      </c>
      <c r="C23" s="4" t="n">
        <v>2</v>
      </c>
      <c r="D23" s="6" t="n">
        <v>22.4191107749939</v>
      </c>
      <c r="E23" s="18" t="s">
        <v>866</v>
      </c>
      <c r="F23" s="18" t="s">
        <v>481</v>
      </c>
      <c r="G23" s="4" t="s">
        <v>71</v>
      </c>
      <c r="H23" s="4" t="s">
        <v>883</v>
      </c>
      <c r="I23" s="4"/>
    </row>
    <row r="24" customFormat="false" ht="15" hidden="false" customHeight="true" outlineLevel="0" collapsed="false">
      <c r="A24" s="4" t="s">
        <v>97</v>
      </c>
      <c r="B24" s="4" t="s">
        <v>36</v>
      </c>
      <c r="C24" s="4" t="n">
        <v>3</v>
      </c>
      <c r="D24" s="6" t="n">
        <v>34.4641108512878</v>
      </c>
      <c r="E24" s="18" t="s">
        <v>861</v>
      </c>
      <c r="F24" s="18" t="s">
        <v>486</v>
      </c>
      <c r="G24" s="4" t="s">
        <v>467</v>
      </c>
      <c r="H24" s="4" t="s">
        <v>884</v>
      </c>
      <c r="I24" s="4"/>
    </row>
    <row r="25" customFormat="false" ht="15" hidden="false" customHeight="true" outlineLevel="0" collapsed="false">
      <c r="A25" s="4" t="s">
        <v>97</v>
      </c>
      <c r="B25" s="4" t="s">
        <v>36</v>
      </c>
      <c r="C25" s="4" t="n">
        <v>4</v>
      </c>
      <c r="D25" s="6" t="n">
        <v>41.7531108856201</v>
      </c>
      <c r="E25" s="18" t="s">
        <v>863</v>
      </c>
      <c r="F25" s="18" t="s">
        <v>487</v>
      </c>
      <c r="G25" s="4" t="s">
        <v>471</v>
      </c>
      <c r="H25" s="4" t="s">
        <v>885</v>
      </c>
      <c r="I25" s="4"/>
    </row>
    <row r="26" customFormat="false" ht="15" hidden="false" customHeight="true" outlineLevel="0" collapsed="false">
      <c r="A26" s="4" t="s">
        <v>104</v>
      </c>
      <c r="B26" s="4" t="s">
        <v>36</v>
      </c>
      <c r="C26" s="4" t="n">
        <v>1</v>
      </c>
      <c r="D26" s="6" t="n">
        <v>7.29112315177918</v>
      </c>
      <c r="E26" s="18" t="s">
        <v>80</v>
      </c>
      <c r="F26" s="18" t="s">
        <v>105</v>
      </c>
      <c r="G26" s="4" t="s">
        <v>858</v>
      </c>
      <c r="H26" s="4" t="s">
        <v>886</v>
      </c>
      <c r="I26" s="4"/>
    </row>
    <row r="27" customFormat="false" ht="15" hidden="false" customHeight="true" outlineLevel="0" collapsed="false">
      <c r="A27" s="4" t="s">
        <v>104</v>
      </c>
      <c r="B27" s="4" t="s">
        <v>36</v>
      </c>
      <c r="C27" s="4" t="n">
        <v>2</v>
      </c>
      <c r="D27" s="6" t="n">
        <v>28.8031232357025</v>
      </c>
      <c r="E27" s="18" t="s">
        <v>222</v>
      </c>
      <c r="F27" s="18" t="s">
        <v>86</v>
      </c>
      <c r="G27" s="4" t="s">
        <v>57</v>
      </c>
      <c r="H27" s="4" t="s">
        <v>887</v>
      </c>
      <c r="I27" s="4"/>
    </row>
    <row r="28" customFormat="false" ht="15" hidden="false" customHeight="true" outlineLevel="0" collapsed="false">
      <c r="A28" s="4" t="s">
        <v>104</v>
      </c>
      <c r="B28" s="4" t="s">
        <v>36</v>
      </c>
      <c r="C28" s="4" t="n">
        <v>3</v>
      </c>
      <c r="D28" s="6" t="n">
        <v>42.4861233234406</v>
      </c>
      <c r="E28" s="18" t="s">
        <v>888</v>
      </c>
      <c r="F28" s="18" t="s">
        <v>502</v>
      </c>
      <c r="G28" s="4" t="s">
        <v>503</v>
      </c>
      <c r="H28" s="4" t="s">
        <v>889</v>
      </c>
      <c r="I28" s="4"/>
    </row>
    <row r="29" customFormat="false" ht="15" hidden="false" customHeight="true" outlineLevel="0" collapsed="false">
      <c r="A29" s="4" t="s">
        <v>109</v>
      </c>
      <c r="B29" s="4" t="s">
        <v>36</v>
      </c>
      <c r="C29" s="4" t="n">
        <v>1</v>
      </c>
      <c r="D29" s="6" t="n">
        <v>5.04200172424316</v>
      </c>
      <c r="E29" s="18" t="s">
        <v>80</v>
      </c>
      <c r="F29" s="18" t="s">
        <v>69</v>
      </c>
      <c r="G29" s="4" t="s">
        <v>858</v>
      </c>
      <c r="H29" s="4"/>
      <c r="I29" s="4" t="s">
        <v>58</v>
      </c>
    </row>
    <row r="30" customFormat="false" ht="15" hidden="false" customHeight="true" outlineLevel="0" collapsed="false">
      <c r="A30" s="4" t="s">
        <v>109</v>
      </c>
      <c r="B30" s="4" t="s">
        <v>36</v>
      </c>
      <c r="C30" s="4" t="n">
        <v>2</v>
      </c>
      <c r="D30" s="6" t="n">
        <v>15.1720016002655</v>
      </c>
      <c r="E30" s="18" t="s">
        <v>112</v>
      </c>
      <c r="F30" s="18" t="s">
        <v>504</v>
      </c>
      <c r="G30" s="4" t="s">
        <v>858</v>
      </c>
      <c r="H30" s="4" t="s">
        <v>890</v>
      </c>
      <c r="I30" s="4"/>
    </row>
    <row r="31" customFormat="false" ht="15" hidden="false" customHeight="true" outlineLevel="0" collapsed="false">
      <c r="A31" s="4" t="s">
        <v>109</v>
      </c>
      <c r="B31" s="4" t="s">
        <v>36</v>
      </c>
      <c r="C31" s="4" t="n">
        <v>3</v>
      </c>
      <c r="D31" s="6" t="n">
        <v>27.3150017261505</v>
      </c>
      <c r="E31" s="18" t="s">
        <v>863</v>
      </c>
      <c r="F31" s="18" t="s">
        <v>496</v>
      </c>
      <c r="G31" s="4" t="s">
        <v>471</v>
      </c>
      <c r="H31" s="4" t="s">
        <v>891</v>
      </c>
      <c r="I31" s="4"/>
    </row>
    <row r="32" customFormat="false" ht="15" hidden="false" customHeight="true" outlineLevel="0" collapsed="false">
      <c r="A32" s="4" t="s">
        <v>109</v>
      </c>
      <c r="B32" s="4" t="s">
        <v>36</v>
      </c>
      <c r="C32" s="4" t="n">
        <v>4</v>
      </c>
      <c r="D32" s="6" t="n">
        <v>41.6840016841888</v>
      </c>
      <c r="E32" s="18" t="s">
        <v>861</v>
      </c>
      <c r="F32" s="18" t="s">
        <v>484</v>
      </c>
      <c r="G32" s="4" t="s">
        <v>467</v>
      </c>
      <c r="H32" s="4" t="s">
        <v>892</v>
      </c>
      <c r="I32" s="4"/>
    </row>
    <row r="33" customFormat="false" ht="15" hidden="false" customHeight="true" outlineLevel="0" collapsed="false">
      <c r="A33" s="4" t="s">
        <v>114</v>
      </c>
      <c r="B33" s="4" t="s">
        <v>36</v>
      </c>
      <c r="C33" s="4" t="n">
        <v>1</v>
      </c>
      <c r="D33" s="6" t="n">
        <v>7.77984356880188</v>
      </c>
      <c r="E33" s="18" t="s">
        <v>102</v>
      </c>
      <c r="F33" s="18" t="s">
        <v>115</v>
      </c>
      <c r="G33" s="4" t="s">
        <v>858</v>
      </c>
      <c r="H33" s="4" t="s">
        <v>893</v>
      </c>
      <c r="I33" s="4"/>
    </row>
    <row r="34" customFormat="false" ht="15" hidden="false" customHeight="true" outlineLevel="0" collapsed="false">
      <c r="A34" s="4" t="s">
        <v>114</v>
      </c>
      <c r="B34" s="4" t="s">
        <v>36</v>
      </c>
      <c r="C34" s="4" t="n">
        <v>2</v>
      </c>
      <c r="D34" s="6" t="n">
        <v>20.2298436164856</v>
      </c>
      <c r="E34" s="18" t="s">
        <v>222</v>
      </c>
      <c r="F34" s="18" t="s">
        <v>508</v>
      </c>
      <c r="G34" s="4" t="s">
        <v>57</v>
      </c>
      <c r="H34" s="4" t="s">
        <v>894</v>
      </c>
      <c r="I34" s="4"/>
    </row>
    <row r="35" customFormat="false" ht="15" hidden="false" customHeight="true" outlineLevel="0" collapsed="false">
      <c r="A35" s="4" t="s">
        <v>114</v>
      </c>
      <c r="B35" s="4" t="s">
        <v>36</v>
      </c>
      <c r="C35" s="4" t="n">
        <v>3</v>
      </c>
      <c r="D35" s="6" t="n">
        <v>30.9668436050415</v>
      </c>
      <c r="E35" s="18" t="s">
        <v>861</v>
      </c>
      <c r="F35" s="18" t="s">
        <v>510</v>
      </c>
      <c r="G35" s="4" t="s">
        <v>467</v>
      </c>
      <c r="H35" s="4" t="s">
        <v>895</v>
      </c>
      <c r="I35" s="4"/>
    </row>
    <row r="36" customFormat="false" ht="15" hidden="false" customHeight="true" outlineLevel="0" collapsed="false">
      <c r="A36" s="4" t="s">
        <v>114</v>
      </c>
      <c r="B36" s="4" t="s">
        <v>36</v>
      </c>
      <c r="C36" s="4" t="n">
        <v>4</v>
      </c>
      <c r="D36" s="6" t="n">
        <v>44.4828436374664</v>
      </c>
      <c r="E36" s="18" t="s">
        <v>863</v>
      </c>
      <c r="F36" s="18" t="s">
        <v>513</v>
      </c>
      <c r="G36" s="4" t="s">
        <v>471</v>
      </c>
      <c r="H36" s="4" t="s">
        <v>896</v>
      </c>
      <c r="I36" s="4"/>
    </row>
    <row r="37" customFormat="false" ht="15" hidden="false" customHeight="true" outlineLevel="0" collapsed="false">
      <c r="A37" s="4" t="s">
        <v>118</v>
      </c>
      <c r="B37" s="4" t="s">
        <v>36</v>
      </c>
      <c r="C37" s="4" t="n">
        <v>1</v>
      </c>
      <c r="D37" s="6" t="n">
        <v>14.2186198234558</v>
      </c>
      <c r="E37" s="18" t="s">
        <v>62</v>
      </c>
      <c r="F37" s="18" t="s">
        <v>119</v>
      </c>
      <c r="G37" s="4" t="s">
        <v>858</v>
      </c>
      <c r="H37" s="4" t="s">
        <v>897</v>
      </c>
      <c r="I37" s="4"/>
    </row>
    <row r="38" customFormat="false" ht="15" hidden="false" customHeight="true" outlineLevel="0" collapsed="false">
      <c r="A38" s="4" t="s">
        <v>118</v>
      </c>
      <c r="B38" s="4" t="s">
        <v>36</v>
      </c>
      <c r="C38" s="4" t="n">
        <v>2</v>
      </c>
      <c r="D38" s="6" t="n">
        <v>29.5486197471619</v>
      </c>
      <c r="E38" s="18" t="s">
        <v>863</v>
      </c>
      <c r="F38" s="18" t="s">
        <v>514</v>
      </c>
      <c r="G38" s="4" t="s">
        <v>471</v>
      </c>
      <c r="H38" s="4" t="s">
        <v>898</v>
      </c>
      <c r="I38" s="4"/>
    </row>
    <row r="39" customFormat="false" ht="15" hidden="false" customHeight="true" outlineLevel="0" collapsed="false">
      <c r="A39" s="4" t="s">
        <v>118</v>
      </c>
      <c r="B39" s="4" t="s">
        <v>36</v>
      </c>
      <c r="C39" s="4" t="n">
        <v>3</v>
      </c>
      <c r="D39" s="6" t="n">
        <v>42.6836197376251</v>
      </c>
      <c r="E39" s="18" t="s">
        <v>861</v>
      </c>
      <c r="F39" s="18" t="s">
        <v>516</v>
      </c>
      <c r="G39" s="4" t="s">
        <v>467</v>
      </c>
      <c r="H39" s="4" t="s">
        <v>899</v>
      </c>
      <c r="I39" s="4"/>
    </row>
    <row r="40" customFormat="false" ht="15" hidden="false" customHeight="true" outlineLevel="0" collapsed="false">
      <c r="A40" s="4" t="s">
        <v>122</v>
      </c>
      <c r="B40" s="4" t="s">
        <v>36</v>
      </c>
      <c r="C40" s="4" t="n">
        <v>1</v>
      </c>
      <c r="D40" s="6" t="n">
        <v>12.2282764911652</v>
      </c>
      <c r="E40" s="18" t="s">
        <v>80</v>
      </c>
      <c r="F40" s="18" t="s">
        <v>124</v>
      </c>
      <c r="G40" s="4" t="s">
        <v>858</v>
      </c>
      <c r="H40" s="4"/>
      <c r="I40" s="4" t="s">
        <v>58</v>
      </c>
    </row>
    <row r="41" customFormat="false" ht="15" hidden="false" customHeight="true" outlineLevel="0" collapsed="false">
      <c r="A41" s="4" t="s">
        <v>122</v>
      </c>
      <c r="B41" s="4" t="s">
        <v>36</v>
      </c>
      <c r="C41" s="4" t="n">
        <v>2</v>
      </c>
      <c r="D41" s="6" t="n">
        <v>29.0832765102386</v>
      </c>
      <c r="E41" s="18" t="s">
        <v>73</v>
      </c>
      <c r="F41" s="18" t="s">
        <v>519</v>
      </c>
      <c r="G41" s="4" t="s">
        <v>858</v>
      </c>
      <c r="H41" s="4" t="s">
        <v>900</v>
      </c>
      <c r="I41" s="4"/>
    </row>
    <row r="42" customFormat="false" ht="15" hidden="false" customHeight="true" outlineLevel="0" collapsed="false">
      <c r="A42" s="4" t="s">
        <v>122</v>
      </c>
      <c r="B42" s="4" t="s">
        <v>36</v>
      </c>
      <c r="C42" s="4" t="n">
        <v>3</v>
      </c>
      <c r="D42" s="6" t="n">
        <v>42.8252766132355</v>
      </c>
      <c r="E42" s="18" t="s">
        <v>222</v>
      </c>
      <c r="F42" s="18" t="s">
        <v>521</v>
      </c>
      <c r="G42" s="4" t="s">
        <v>57</v>
      </c>
      <c r="H42" s="4" t="s">
        <v>901</v>
      </c>
      <c r="I42" s="4"/>
    </row>
    <row r="43" customFormat="false" ht="15" hidden="false" customHeight="true" outlineLevel="0" collapsed="false">
      <c r="A43" s="4" t="s">
        <v>122</v>
      </c>
      <c r="B43" s="4" t="s">
        <v>36</v>
      </c>
      <c r="C43" s="4" t="n">
        <v>4</v>
      </c>
      <c r="D43" s="6" t="n">
        <v>54.305276632309</v>
      </c>
      <c r="E43" s="18" t="s">
        <v>902</v>
      </c>
      <c r="F43" s="18" t="s">
        <v>522</v>
      </c>
      <c r="G43" s="4" t="s">
        <v>523</v>
      </c>
      <c r="H43" s="4" t="s">
        <v>903</v>
      </c>
      <c r="I43" s="4"/>
    </row>
    <row r="44" customFormat="false" ht="15" hidden="false" customHeight="true" outlineLevel="0" collapsed="false">
      <c r="A44" s="4" t="s">
        <v>122</v>
      </c>
      <c r="B44" s="4" t="s">
        <v>36</v>
      </c>
      <c r="C44" s="4" t="n">
        <v>5</v>
      </c>
      <c r="D44" s="6" t="n">
        <v>57.0312764644623</v>
      </c>
      <c r="E44" s="18" t="s">
        <v>866</v>
      </c>
      <c r="F44" s="18" t="s">
        <v>525</v>
      </c>
      <c r="G44" s="4" t="s">
        <v>71</v>
      </c>
      <c r="H44" s="4" t="s">
        <v>904</v>
      </c>
      <c r="I44" s="4"/>
    </row>
    <row r="45" customFormat="false" ht="15" hidden="false" customHeight="true" outlineLevel="0" collapsed="false">
      <c r="A45" s="4" t="s">
        <v>122</v>
      </c>
      <c r="B45" s="4" t="s">
        <v>36</v>
      </c>
      <c r="C45" s="4" t="n">
        <v>6</v>
      </c>
      <c r="D45" s="6" t="n">
        <v>70.9572765827179</v>
      </c>
      <c r="E45" s="18" t="s">
        <v>861</v>
      </c>
      <c r="F45" s="18" t="s">
        <v>511</v>
      </c>
      <c r="G45" s="4" t="s">
        <v>467</v>
      </c>
      <c r="H45" s="4" t="s">
        <v>905</v>
      </c>
      <c r="I45" s="4"/>
    </row>
    <row r="46" customFormat="false" ht="15" hidden="false" customHeight="true" outlineLevel="0" collapsed="false">
      <c r="A46" s="4" t="s">
        <v>122</v>
      </c>
      <c r="B46" s="4" t="s">
        <v>36</v>
      </c>
      <c r="C46" s="4" t="n">
        <v>7</v>
      </c>
      <c r="D46" s="6" t="n">
        <v>88.8502764701843</v>
      </c>
      <c r="E46" s="18" t="s">
        <v>863</v>
      </c>
      <c r="F46" s="18" t="s">
        <v>497</v>
      </c>
      <c r="G46" s="4" t="s">
        <v>471</v>
      </c>
      <c r="H46" s="4" t="s">
        <v>906</v>
      </c>
      <c r="I46" s="4"/>
    </row>
    <row r="47" customFormat="false" ht="15" hidden="false" customHeight="true" outlineLevel="0" collapsed="false">
      <c r="A47" s="4" t="s">
        <v>154</v>
      </c>
      <c r="B47" s="4" t="s">
        <v>155</v>
      </c>
      <c r="C47" s="4" t="n">
        <v>1</v>
      </c>
      <c r="D47" s="6" t="n">
        <v>9.97089314460754</v>
      </c>
      <c r="E47" s="18" t="s">
        <v>157</v>
      </c>
      <c r="F47" s="18" t="s">
        <v>156</v>
      </c>
      <c r="G47" s="4" t="s">
        <v>553</v>
      </c>
      <c r="H47" s="4"/>
      <c r="I47" s="4"/>
    </row>
    <row r="48" customFormat="false" ht="15" hidden="false" customHeight="true" outlineLevel="0" collapsed="false">
      <c r="A48" s="4" t="s">
        <v>154</v>
      </c>
      <c r="B48" s="4" t="s">
        <v>155</v>
      </c>
      <c r="C48" s="4" t="n">
        <v>2</v>
      </c>
      <c r="D48" s="6" t="n">
        <v>9.97889304161072</v>
      </c>
      <c r="E48" s="18" t="s">
        <v>863</v>
      </c>
      <c r="F48" s="18" t="s">
        <v>156</v>
      </c>
      <c r="G48" s="4" t="s">
        <v>471</v>
      </c>
      <c r="H48" s="4" t="s">
        <v>907</v>
      </c>
      <c r="I48" s="4"/>
    </row>
    <row r="49" customFormat="false" ht="15" hidden="false" customHeight="true" outlineLevel="0" collapsed="false">
      <c r="A49" s="4" t="s">
        <v>154</v>
      </c>
      <c r="B49" s="4" t="s">
        <v>155</v>
      </c>
      <c r="C49" s="4" t="n">
        <v>3</v>
      </c>
      <c r="D49" s="6" t="n">
        <v>29.0148930549622</v>
      </c>
      <c r="E49" s="18" t="s">
        <v>222</v>
      </c>
      <c r="F49" s="18" t="s">
        <v>556</v>
      </c>
      <c r="G49" s="4" t="s">
        <v>57</v>
      </c>
      <c r="H49" s="4" t="s">
        <v>908</v>
      </c>
      <c r="I49" s="4"/>
    </row>
    <row r="50" customFormat="false" ht="15" hidden="false" customHeight="true" outlineLevel="0" collapsed="false">
      <c r="A50" s="4" t="s">
        <v>154</v>
      </c>
      <c r="B50" s="4" t="s">
        <v>155</v>
      </c>
      <c r="C50" s="4" t="n">
        <v>4</v>
      </c>
      <c r="D50" s="6" t="n">
        <v>45.5358929634094</v>
      </c>
      <c r="E50" s="18" t="s">
        <v>863</v>
      </c>
      <c r="F50" s="18" t="s">
        <v>557</v>
      </c>
      <c r="G50" s="4" t="s">
        <v>471</v>
      </c>
      <c r="H50" s="4" t="s">
        <v>909</v>
      </c>
      <c r="I50" s="4"/>
    </row>
    <row r="51" customFormat="false" ht="15" hidden="false" customHeight="true" outlineLevel="0" collapsed="false">
      <c r="A51" s="4" t="s">
        <v>159</v>
      </c>
      <c r="B51" s="4" t="s">
        <v>155</v>
      </c>
      <c r="C51" s="4" t="n">
        <v>1</v>
      </c>
      <c r="D51" s="6" t="n">
        <v>10.1900835037231</v>
      </c>
      <c r="E51" s="18" t="s">
        <v>161</v>
      </c>
      <c r="F51" s="18" t="s">
        <v>160</v>
      </c>
      <c r="G51" s="4" t="s">
        <v>552</v>
      </c>
      <c r="H51" s="4" t="s">
        <v>910</v>
      </c>
      <c r="I51" s="4"/>
    </row>
    <row r="52" customFormat="false" ht="15" hidden="false" customHeight="true" outlineLevel="0" collapsed="false">
      <c r="A52" s="4" t="s">
        <v>159</v>
      </c>
      <c r="B52" s="4" t="s">
        <v>155</v>
      </c>
      <c r="C52" s="4" t="n">
        <v>2</v>
      </c>
      <c r="D52" s="6" t="n">
        <v>10.3950834274292</v>
      </c>
      <c r="E52" s="18" t="s">
        <v>222</v>
      </c>
      <c r="F52" s="18" t="s">
        <v>160</v>
      </c>
      <c r="G52" s="4" t="s">
        <v>57</v>
      </c>
      <c r="H52" s="4" t="s">
        <v>911</v>
      </c>
      <c r="I52" s="4"/>
    </row>
    <row r="53" customFormat="false" ht="15" hidden="false" customHeight="true" outlineLevel="0" collapsed="false">
      <c r="A53" s="4" t="s">
        <v>163</v>
      </c>
      <c r="B53" s="4" t="s">
        <v>155</v>
      </c>
      <c r="C53" s="4" t="n">
        <v>1</v>
      </c>
      <c r="D53" s="6" t="n">
        <v>1.51481914520264</v>
      </c>
      <c r="E53" s="18" t="s">
        <v>102</v>
      </c>
      <c r="F53" s="18" t="s">
        <v>874</v>
      </c>
      <c r="G53" s="4" t="s">
        <v>858</v>
      </c>
      <c r="H53" s="4"/>
      <c r="I53" s="4" t="s">
        <v>58</v>
      </c>
    </row>
    <row r="54" customFormat="false" ht="15" hidden="false" customHeight="true" outlineLevel="0" collapsed="false">
      <c r="A54" s="4" t="s">
        <v>163</v>
      </c>
      <c r="B54" s="4" t="s">
        <v>155</v>
      </c>
      <c r="C54" s="4" t="n">
        <v>2</v>
      </c>
      <c r="D54" s="6" t="n">
        <v>14.313355922699</v>
      </c>
      <c r="E54" s="18" t="s">
        <v>102</v>
      </c>
      <c r="F54" s="18" t="s">
        <v>164</v>
      </c>
      <c r="G54" s="4" t="s">
        <v>858</v>
      </c>
      <c r="H54" s="4" t="s">
        <v>912</v>
      </c>
      <c r="I54" s="4"/>
    </row>
    <row r="55" customFormat="false" ht="15" hidden="false" customHeight="true" outlineLevel="0" collapsed="false">
      <c r="A55" s="4" t="s">
        <v>163</v>
      </c>
      <c r="B55" s="4" t="s">
        <v>155</v>
      </c>
      <c r="C55" s="4" t="n">
        <v>3</v>
      </c>
      <c r="D55" s="6" t="n">
        <v>40.8863561153412</v>
      </c>
      <c r="E55" s="18" t="s">
        <v>913</v>
      </c>
      <c r="F55" s="18" t="s">
        <v>561</v>
      </c>
      <c r="G55" s="4" t="s">
        <v>914</v>
      </c>
      <c r="H55" s="4" t="s">
        <v>915</v>
      </c>
      <c r="I55" s="4"/>
    </row>
    <row r="56" customFormat="false" ht="15" hidden="false" customHeight="true" outlineLevel="0" collapsed="false">
      <c r="A56" s="4" t="s">
        <v>174</v>
      </c>
      <c r="B56" s="4" t="s">
        <v>155</v>
      </c>
      <c r="C56" s="4" t="n">
        <v>1</v>
      </c>
      <c r="D56" s="6" t="n">
        <v>10.0882656574249</v>
      </c>
      <c r="E56" s="18" t="s">
        <v>177</v>
      </c>
      <c r="F56" s="18" t="s">
        <v>175</v>
      </c>
      <c r="G56" s="4" t="s">
        <v>916</v>
      </c>
      <c r="H56" s="4" t="s">
        <v>917</v>
      </c>
      <c r="I56" s="4"/>
    </row>
    <row r="57" customFormat="false" ht="15" hidden="false" customHeight="true" outlineLevel="0" collapsed="false">
      <c r="A57" s="4" t="s">
        <v>174</v>
      </c>
      <c r="B57" s="4" t="s">
        <v>155</v>
      </c>
      <c r="C57" s="4" t="n">
        <v>2</v>
      </c>
      <c r="D57" s="6" t="n">
        <v>32.2702655792236</v>
      </c>
      <c r="E57" s="18" t="s">
        <v>888</v>
      </c>
      <c r="F57" s="18" t="s">
        <v>574</v>
      </c>
      <c r="G57" s="4" t="s">
        <v>503</v>
      </c>
      <c r="H57" s="4" t="s">
        <v>918</v>
      </c>
      <c r="I57" s="4"/>
    </row>
    <row r="58" customFormat="false" ht="15" hidden="false" customHeight="true" outlineLevel="0" collapsed="false">
      <c r="A58" s="4" t="s">
        <v>179</v>
      </c>
      <c r="B58" s="4" t="s">
        <v>155</v>
      </c>
      <c r="C58" s="4" t="n">
        <v>1</v>
      </c>
      <c r="D58" s="6" t="n">
        <v>19.6250758171082</v>
      </c>
      <c r="E58" s="18" t="s">
        <v>112</v>
      </c>
      <c r="F58" s="18" t="s">
        <v>504</v>
      </c>
      <c r="G58" s="4" t="s">
        <v>858</v>
      </c>
      <c r="H58" s="4" t="s">
        <v>919</v>
      </c>
      <c r="I58" s="4"/>
    </row>
    <row r="59" customFormat="false" ht="15" hidden="false" customHeight="true" outlineLevel="0" collapsed="false">
      <c r="A59" s="4" t="s">
        <v>179</v>
      </c>
      <c r="B59" s="4" t="s">
        <v>155</v>
      </c>
      <c r="C59" s="4" t="n">
        <v>2</v>
      </c>
      <c r="D59" s="6" t="n">
        <v>37.0560758113861</v>
      </c>
      <c r="E59" s="18" t="s">
        <v>222</v>
      </c>
      <c r="F59" s="18" t="s">
        <v>86</v>
      </c>
      <c r="G59" s="4" t="s">
        <v>57</v>
      </c>
      <c r="H59" s="4" t="s">
        <v>920</v>
      </c>
      <c r="I59" s="4"/>
    </row>
    <row r="60" customFormat="false" ht="15" hidden="false" customHeight="true" outlineLevel="0" collapsed="false">
      <c r="A60" s="4" t="s">
        <v>179</v>
      </c>
      <c r="B60" s="4" t="s">
        <v>155</v>
      </c>
      <c r="C60" s="4" t="n">
        <v>3</v>
      </c>
      <c r="D60" s="6" t="n">
        <v>50.0360758304596</v>
      </c>
      <c r="E60" s="18" t="s">
        <v>861</v>
      </c>
      <c r="F60" s="18" t="s">
        <v>516</v>
      </c>
      <c r="G60" s="4" t="s">
        <v>467</v>
      </c>
      <c r="H60" s="4" t="s">
        <v>921</v>
      </c>
      <c r="I60" s="4"/>
    </row>
    <row r="61" customFormat="false" ht="15" hidden="false" customHeight="true" outlineLevel="0" collapsed="false">
      <c r="A61" s="4" t="s">
        <v>179</v>
      </c>
      <c r="B61" s="4" t="s">
        <v>155</v>
      </c>
      <c r="C61" s="4" t="n">
        <v>4</v>
      </c>
      <c r="D61" s="6" t="n">
        <v>57.947075843811</v>
      </c>
      <c r="E61" s="18" t="s">
        <v>863</v>
      </c>
      <c r="F61" s="18" t="s">
        <v>487</v>
      </c>
      <c r="G61" s="4" t="s">
        <v>471</v>
      </c>
      <c r="H61" s="4" t="s">
        <v>922</v>
      </c>
      <c r="I61" s="4"/>
    </row>
    <row r="62" customFormat="false" ht="15" hidden="false" customHeight="true" outlineLevel="0" collapsed="false">
      <c r="A62" s="4" t="s">
        <v>183</v>
      </c>
      <c r="B62" s="4" t="s">
        <v>155</v>
      </c>
      <c r="C62" s="4" t="n">
        <v>1</v>
      </c>
      <c r="D62" s="6" t="n">
        <v>4.42973685264587</v>
      </c>
      <c r="E62" s="18" t="s">
        <v>80</v>
      </c>
      <c r="F62" s="18" t="s">
        <v>184</v>
      </c>
      <c r="G62" s="4" t="s">
        <v>858</v>
      </c>
      <c r="H62" s="4" t="s">
        <v>923</v>
      </c>
      <c r="I62" s="4"/>
    </row>
    <row r="63" customFormat="false" ht="15" hidden="false" customHeight="true" outlineLevel="0" collapsed="false">
      <c r="A63" s="4" t="s">
        <v>183</v>
      </c>
      <c r="B63" s="4" t="s">
        <v>155</v>
      </c>
      <c r="C63" s="4" t="n">
        <v>2</v>
      </c>
      <c r="D63" s="6" t="n">
        <v>41.5317368507385</v>
      </c>
      <c r="E63" s="18" t="s">
        <v>222</v>
      </c>
      <c r="F63" s="18" t="s">
        <v>86</v>
      </c>
      <c r="G63" s="4" t="s">
        <v>57</v>
      </c>
      <c r="H63" s="4" t="s">
        <v>924</v>
      </c>
      <c r="I63" s="4"/>
    </row>
    <row r="64" customFormat="false" ht="15" hidden="false" customHeight="true" outlineLevel="0" collapsed="false">
      <c r="A64" s="4" t="s">
        <v>183</v>
      </c>
      <c r="B64" s="4" t="s">
        <v>155</v>
      </c>
      <c r="C64" s="4" t="n">
        <v>3</v>
      </c>
      <c r="D64" s="6" t="n">
        <v>55.0967366695404</v>
      </c>
      <c r="E64" s="18" t="s">
        <v>888</v>
      </c>
      <c r="F64" s="18" t="s">
        <v>578</v>
      </c>
      <c r="G64" s="4" t="s">
        <v>503</v>
      </c>
      <c r="H64" s="4" t="s">
        <v>925</v>
      </c>
      <c r="I64" s="4"/>
    </row>
    <row r="65" customFormat="false" ht="15" hidden="false" customHeight="true" outlineLevel="0" collapsed="false">
      <c r="A65" s="4" t="s">
        <v>188</v>
      </c>
      <c r="B65" s="4" t="s">
        <v>155</v>
      </c>
      <c r="C65" s="4" t="n">
        <v>1</v>
      </c>
      <c r="D65" s="6" t="n">
        <v>-0.154549598693848</v>
      </c>
      <c r="E65" s="18" t="s">
        <v>80</v>
      </c>
      <c r="F65" s="18" t="s">
        <v>874</v>
      </c>
      <c r="G65" s="4" t="s">
        <v>858</v>
      </c>
      <c r="H65" s="4" t="s">
        <v>926</v>
      </c>
      <c r="I65" s="4"/>
    </row>
    <row r="66" customFormat="false" ht="15" hidden="false" customHeight="true" outlineLevel="0" collapsed="false">
      <c r="A66" s="4" t="s">
        <v>188</v>
      </c>
      <c r="B66" s="4" t="s">
        <v>155</v>
      </c>
      <c r="C66" s="4" t="n">
        <v>2</v>
      </c>
      <c r="D66" s="6" t="n">
        <v>18.8193988800049</v>
      </c>
      <c r="E66" s="18" t="s">
        <v>888</v>
      </c>
      <c r="F66" s="18" t="s">
        <v>190</v>
      </c>
      <c r="G66" s="4" t="s">
        <v>503</v>
      </c>
      <c r="H66" s="4" t="s">
        <v>927</v>
      </c>
      <c r="I66" s="4"/>
    </row>
    <row r="67" customFormat="false" ht="15" hidden="false" customHeight="true" outlineLevel="0" collapsed="false">
      <c r="A67" s="4" t="s">
        <v>188</v>
      </c>
      <c r="B67" s="4" t="s">
        <v>155</v>
      </c>
      <c r="C67" s="4" t="n">
        <v>3</v>
      </c>
      <c r="D67" s="6" t="n">
        <v>49.5353989601135</v>
      </c>
      <c r="E67" s="18" t="s">
        <v>863</v>
      </c>
      <c r="F67" s="18" t="s">
        <v>496</v>
      </c>
      <c r="G67" s="4" t="s">
        <v>471</v>
      </c>
      <c r="H67" s="4" t="s">
        <v>928</v>
      </c>
      <c r="I67" s="4"/>
    </row>
    <row r="68" customFormat="false" ht="15" hidden="false" customHeight="true" outlineLevel="0" collapsed="false">
      <c r="A68" s="4" t="s">
        <v>188</v>
      </c>
      <c r="B68" s="4" t="s">
        <v>155</v>
      </c>
      <c r="C68" s="4" t="n">
        <v>4</v>
      </c>
      <c r="D68" s="6" t="n">
        <v>60.33939909935</v>
      </c>
      <c r="E68" s="18" t="s">
        <v>222</v>
      </c>
      <c r="F68" s="18" t="s">
        <v>581</v>
      </c>
      <c r="G68" s="4" t="s">
        <v>57</v>
      </c>
      <c r="H68" s="4" t="s">
        <v>929</v>
      </c>
      <c r="I68" s="4"/>
    </row>
    <row r="69" customFormat="false" ht="15" hidden="false" customHeight="true" outlineLevel="0" collapsed="false">
      <c r="A69" s="4" t="s">
        <v>188</v>
      </c>
      <c r="B69" s="4" t="s">
        <v>155</v>
      </c>
      <c r="C69" s="4" t="n">
        <v>5</v>
      </c>
      <c r="D69" s="6" t="n">
        <v>74.3043990135193</v>
      </c>
      <c r="E69" s="18" t="s">
        <v>861</v>
      </c>
      <c r="F69" s="18" t="s">
        <v>484</v>
      </c>
      <c r="G69" s="4" t="s">
        <v>467</v>
      </c>
      <c r="H69" s="4" t="s">
        <v>930</v>
      </c>
      <c r="I69" s="4"/>
    </row>
    <row r="70" customFormat="false" ht="15" hidden="false" customHeight="true" outlineLevel="0" collapsed="false">
      <c r="A70" s="4" t="s">
        <v>188</v>
      </c>
      <c r="B70" s="4" t="s">
        <v>155</v>
      </c>
      <c r="C70" s="4" t="n">
        <v>6</v>
      </c>
      <c r="D70" s="6" t="n">
        <v>81.5863990783691</v>
      </c>
      <c r="E70" s="18" t="s">
        <v>863</v>
      </c>
      <c r="F70" s="18" t="s">
        <v>487</v>
      </c>
      <c r="G70" s="4" t="s">
        <v>471</v>
      </c>
      <c r="H70" s="4" t="s">
        <v>931</v>
      </c>
      <c r="I70" s="4"/>
    </row>
    <row r="71" customFormat="false" ht="15" hidden="false" customHeight="true" outlineLevel="0" collapsed="false">
      <c r="A71" s="4" t="s">
        <v>194</v>
      </c>
      <c r="B71" s="4" t="s">
        <v>155</v>
      </c>
      <c r="C71" s="4" t="n">
        <v>1</v>
      </c>
      <c r="D71" s="6" t="n">
        <v>8.10695385932922</v>
      </c>
      <c r="E71" s="18" t="s">
        <v>157</v>
      </c>
      <c r="F71" s="18" t="s">
        <v>196</v>
      </c>
      <c r="G71" s="4" t="s">
        <v>553</v>
      </c>
      <c r="H71" s="4" t="s">
        <v>932</v>
      </c>
      <c r="I71" s="4"/>
    </row>
    <row r="72" customFormat="false" ht="15" hidden="false" customHeight="true" outlineLevel="0" collapsed="false">
      <c r="A72" s="4" t="s">
        <v>194</v>
      </c>
      <c r="B72" s="4" t="s">
        <v>155</v>
      </c>
      <c r="C72" s="4" t="n">
        <v>2</v>
      </c>
      <c r="D72" s="6" t="n">
        <v>32.5259537696838</v>
      </c>
      <c r="E72" s="18" t="s">
        <v>161</v>
      </c>
      <c r="F72" s="18" t="s">
        <v>585</v>
      </c>
      <c r="G72" s="4" t="s">
        <v>552</v>
      </c>
      <c r="H72" s="4" t="s">
        <v>933</v>
      </c>
      <c r="I72" s="4"/>
    </row>
    <row r="73" customFormat="false" ht="15" hidden="false" customHeight="true" outlineLevel="0" collapsed="false">
      <c r="A73" s="4" t="s">
        <v>194</v>
      </c>
      <c r="B73" s="4" t="s">
        <v>155</v>
      </c>
      <c r="C73" s="4" t="n">
        <v>3</v>
      </c>
      <c r="D73" s="6" t="n">
        <v>42.6909537315369</v>
      </c>
      <c r="E73" s="18" t="s">
        <v>863</v>
      </c>
      <c r="F73" s="18" t="s">
        <v>586</v>
      </c>
      <c r="G73" s="4" t="s">
        <v>471</v>
      </c>
      <c r="H73" s="4" t="s">
        <v>934</v>
      </c>
      <c r="I73" s="4"/>
    </row>
    <row r="74" customFormat="false" ht="15" hidden="false" customHeight="true" outlineLevel="0" collapsed="false">
      <c r="A74" s="4" t="s">
        <v>206</v>
      </c>
      <c r="B74" s="4" t="s">
        <v>155</v>
      </c>
      <c r="C74" s="4" t="n">
        <v>1</v>
      </c>
      <c r="D74" s="6" t="n">
        <v>6.80383157730103</v>
      </c>
      <c r="E74" s="18" t="s">
        <v>80</v>
      </c>
      <c r="F74" s="18" t="s">
        <v>207</v>
      </c>
      <c r="G74" s="4" t="s">
        <v>858</v>
      </c>
      <c r="H74" s="4"/>
      <c r="I74" s="4" t="s">
        <v>58</v>
      </c>
    </row>
    <row r="75" customFormat="false" ht="15" hidden="false" customHeight="true" outlineLevel="0" collapsed="false">
      <c r="A75" s="4" t="s">
        <v>206</v>
      </c>
      <c r="B75" s="4" t="s">
        <v>155</v>
      </c>
      <c r="C75" s="4" t="n">
        <v>2</v>
      </c>
      <c r="D75" s="6" t="n">
        <v>28.8798315525055</v>
      </c>
      <c r="E75" s="18" t="s">
        <v>209</v>
      </c>
      <c r="F75" s="18" t="s">
        <v>594</v>
      </c>
      <c r="G75" s="4" t="s">
        <v>858</v>
      </c>
      <c r="H75" s="4" t="s">
        <v>935</v>
      </c>
      <c r="I75" s="4"/>
    </row>
    <row r="76" customFormat="false" ht="15" hidden="false" customHeight="true" outlineLevel="0" collapsed="false">
      <c r="A76" s="4" t="s">
        <v>206</v>
      </c>
      <c r="B76" s="4" t="s">
        <v>155</v>
      </c>
      <c r="C76" s="4" t="n">
        <v>3</v>
      </c>
      <c r="D76" s="6" t="n">
        <v>45.7068314552307</v>
      </c>
      <c r="E76" s="18" t="s">
        <v>866</v>
      </c>
      <c r="F76" s="18" t="s">
        <v>481</v>
      </c>
      <c r="G76" s="4" t="s">
        <v>71</v>
      </c>
      <c r="H76" s="4" t="s">
        <v>936</v>
      </c>
      <c r="I76" s="4"/>
    </row>
    <row r="77" customFormat="false" ht="15" hidden="false" customHeight="true" outlineLevel="0" collapsed="false">
      <c r="A77" s="4" t="s">
        <v>206</v>
      </c>
      <c r="B77" s="4" t="s">
        <v>155</v>
      </c>
      <c r="C77" s="4" t="n">
        <v>4</v>
      </c>
      <c r="D77" s="6" t="n">
        <v>55.6978316307068</v>
      </c>
      <c r="E77" s="18" t="s">
        <v>863</v>
      </c>
      <c r="F77" s="18" t="s">
        <v>597</v>
      </c>
      <c r="G77" s="4" t="s">
        <v>471</v>
      </c>
      <c r="H77" s="4" t="s">
        <v>937</v>
      </c>
      <c r="I77" s="4"/>
    </row>
    <row r="78" customFormat="false" ht="15" hidden="false" customHeight="true" outlineLevel="0" collapsed="false">
      <c r="A78" s="4" t="s">
        <v>206</v>
      </c>
      <c r="B78" s="4" t="s">
        <v>155</v>
      </c>
      <c r="C78" s="4" t="n">
        <v>5</v>
      </c>
      <c r="D78" s="6" t="n">
        <v>69.3378314971924</v>
      </c>
      <c r="E78" s="18" t="s">
        <v>222</v>
      </c>
      <c r="F78" s="18" t="s">
        <v>598</v>
      </c>
      <c r="G78" s="4" t="s">
        <v>57</v>
      </c>
      <c r="H78" s="4" t="s">
        <v>938</v>
      </c>
      <c r="I78" s="4"/>
    </row>
    <row r="79" customFormat="false" ht="15" hidden="false" customHeight="true" outlineLevel="0" collapsed="false">
      <c r="A79" s="4" t="s">
        <v>206</v>
      </c>
      <c r="B79" s="4" t="s">
        <v>155</v>
      </c>
      <c r="C79" s="4" t="n">
        <v>6</v>
      </c>
      <c r="D79" s="6" t="n">
        <v>85.5408315658569</v>
      </c>
      <c r="E79" s="18" t="s">
        <v>861</v>
      </c>
      <c r="F79" s="18" t="s">
        <v>599</v>
      </c>
      <c r="G79" s="4" t="s">
        <v>467</v>
      </c>
      <c r="H79" s="4" t="s">
        <v>939</v>
      </c>
      <c r="I79" s="4"/>
    </row>
    <row r="80" customFormat="false" ht="15" hidden="false" customHeight="true" outlineLevel="0" collapsed="false">
      <c r="A80" s="4" t="s">
        <v>211</v>
      </c>
      <c r="B80" s="4" t="s">
        <v>155</v>
      </c>
      <c r="C80" s="4" t="n">
        <v>1</v>
      </c>
      <c r="D80" s="6" t="n">
        <v>4.96386551856995</v>
      </c>
      <c r="E80" s="18" t="s">
        <v>80</v>
      </c>
      <c r="F80" s="18" t="s">
        <v>874</v>
      </c>
      <c r="G80" s="4" t="s">
        <v>858</v>
      </c>
      <c r="H80" s="4"/>
      <c r="I80" s="4" t="s">
        <v>58</v>
      </c>
    </row>
    <row r="81" customFormat="false" ht="15" hidden="false" customHeight="true" outlineLevel="0" collapsed="false">
      <c r="A81" s="4" t="s">
        <v>211</v>
      </c>
      <c r="B81" s="4" t="s">
        <v>155</v>
      </c>
      <c r="C81" s="4" t="n">
        <v>2</v>
      </c>
      <c r="D81" s="6" t="n">
        <v>5.06541705131531</v>
      </c>
      <c r="E81" s="18" t="s">
        <v>80</v>
      </c>
      <c r="F81" s="18" t="s">
        <v>124</v>
      </c>
      <c r="G81" s="4" t="s">
        <v>858</v>
      </c>
      <c r="H81" s="4" t="s">
        <v>940</v>
      </c>
      <c r="I81" s="4"/>
    </row>
    <row r="82" customFormat="false" ht="15" hidden="false" customHeight="true" outlineLevel="0" collapsed="false">
      <c r="A82" s="4" t="s">
        <v>211</v>
      </c>
      <c r="B82" s="4" t="s">
        <v>155</v>
      </c>
      <c r="C82" s="4" t="n">
        <v>3</v>
      </c>
      <c r="D82" s="6" t="n">
        <v>31.5494170188904</v>
      </c>
      <c r="E82" s="18" t="s">
        <v>866</v>
      </c>
      <c r="F82" s="18" t="s">
        <v>602</v>
      </c>
      <c r="G82" s="4" t="s">
        <v>914</v>
      </c>
      <c r="H82" s="4" t="s">
        <v>941</v>
      </c>
      <c r="I82" s="4"/>
    </row>
    <row r="83" customFormat="false" ht="15" hidden="false" customHeight="true" outlineLevel="0" collapsed="false">
      <c r="A83" s="4" t="s">
        <v>211</v>
      </c>
      <c r="B83" s="4" t="s">
        <v>155</v>
      </c>
      <c r="C83" s="4" t="n">
        <v>4</v>
      </c>
      <c r="D83" s="6" t="n">
        <v>40.3744170665741</v>
      </c>
      <c r="E83" s="18" t="s">
        <v>863</v>
      </c>
      <c r="F83" s="18" t="s">
        <v>604</v>
      </c>
      <c r="G83" s="4" t="s">
        <v>471</v>
      </c>
      <c r="H83" s="4" t="s">
        <v>942</v>
      </c>
      <c r="I83" s="4"/>
    </row>
    <row r="84" customFormat="false" ht="15" hidden="false" customHeight="true" outlineLevel="0" collapsed="false">
      <c r="A84" s="4" t="s">
        <v>211</v>
      </c>
      <c r="B84" s="4" t="s">
        <v>155</v>
      </c>
      <c r="C84" s="4" t="n">
        <v>5</v>
      </c>
      <c r="D84" s="6" t="n">
        <v>45.5734169483185</v>
      </c>
      <c r="E84" s="18" t="s">
        <v>861</v>
      </c>
      <c r="F84" s="18" t="s">
        <v>605</v>
      </c>
      <c r="G84" s="4" t="s">
        <v>467</v>
      </c>
      <c r="H84" s="4" t="s">
        <v>943</v>
      </c>
      <c r="I84" s="4"/>
    </row>
    <row r="85" customFormat="false" ht="15" hidden="false" customHeight="true" outlineLevel="0" collapsed="false">
      <c r="A85" s="4" t="s">
        <v>214</v>
      </c>
      <c r="B85" s="4" t="s">
        <v>155</v>
      </c>
      <c r="C85" s="4" t="n">
        <v>1</v>
      </c>
      <c r="D85" s="6" t="n">
        <v>3.35356044769287</v>
      </c>
      <c r="E85" s="18" t="s">
        <v>80</v>
      </c>
      <c r="F85" s="18" t="s">
        <v>874</v>
      </c>
      <c r="G85" s="4" t="s">
        <v>858</v>
      </c>
      <c r="H85" s="4" t="s">
        <v>944</v>
      </c>
      <c r="I85" s="4"/>
    </row>
    <row r="86" customFormat="false" ht="15" hidden="false" customHeight="true" outlineLevel="0" collapsed="false">
      <c r="A86" s="4" t="s">
        <v>214</v>
      </c>
      <c r="B86" s="4" t="s">
        <v>155</v>
      </c>
      <c r="C86" s="4" t="n">
        <v>2</v>
      </c>
      <c r="D86" s="6" t="n">
        <v>44.715313911438</v>
      </c>
      <c r="E86" s="18" t="s">
        <v>866</v>
      </c>
      <c r="F86" s="18" t="s">
        <v>481</v>
      </c>
      <c r="G86" s="4" t="s">
        <v>71</v>
      </c>
      <c r="H86" s="4" t="s">
        <v>945</v>
      </c>
      <c r="I86" s="4"/>
    </row>
    <row r="87" customFormat="false" ht="15" hidden="false" customHeight="true" outlineLevel="0" collapsed="false">
      <c r="A87" s="4" t="s">
        <v>214</v>
      </c>
      <c r="B87" s="4" t="s">
        <v>155</v>
      </c>
      <c r="C87" s="4" t="n">
        <v>3</v>
      </c>
      <c r="D87" s="6" t="n">
        <v>51.3683140277862</v>
      </c>
      <c r="E87" s="18" t="s">
        <v>222</v>
      </c>
      <c r="F87" s="18" t="s">
        <v>611</v>
      </c>
      <c r="G87" s="4" t="s">
        <v>57</v>
      </c>
      <c r="H87" s="4" t="s">
        <v>946</v>
      </c>
      <c r="I87" s="4"/>
    </row>
    <row r="88" customFormat="false" ht="15" hidden="false" customHeight="true" outlineLevel="0" collapsed="false">
      <c r="A88" s="4" t="s">
        <v>214</v>
      </c>
      <c r="B88" s="4" t="s">
        <v>155</v>
      </c>
      <c r="C88" s="4" t="n">
        <v>4</v>
      </c>
      <c r="D88" s="6" t="n">
        <v>60.9603140354156</v>
      </c>
      <c r="E88" s="18" t="s">
        <v>888</v>
      </c>
      <c r="F88" s="18" t="s">
        <v>612</v>
      </c>
      <c r="G88" s="4" t="s">
        <v>503</v>
      </c>
      <c r="H88" s="4" t="s">
        <v>947</v>
      </c>
      <c r="I88" s="4"/>
    </row>
    <row r="89" customFormat="false" ht="15" hidden="false" customHeight="true" outlineLevel="0" collapsed="false">
      <c r="A89" s="4" t="s">
        <v>220</v>
      </c>
      <c r="B89" s="4" t="s">
        <v>155</v>
      </c>
      <c r="C89" s="4" t="n">
        <v>1</v>
      </c>
      <c r="D89" s="6" t="n">
        <v>8.17840337753296</v>
      </c>
      <c r="E89" s="18" t="s">
        <v>222</v>
      </c>
      <c r="F89" s="18" t="s">
        <v>221</v>
      </c>
      <c r="G89" s="4" t="s">
        <v>57</v>
      </c>
      <c r="H89" s="4" t="s">
        <v>948</v>
      </c>
      <c r="I89" s="4"/>
    </row>
    <row r="90" customFormat="false" ht="15" hidden="false" customHeight="true" outlineLevel="0" collapsed="false">
      <c r="A90" s="4" t="s">
        <v>220</v>
      </c>
      <c r="B90" s="4" t="s">
        <v>155</v>
      </c>
      <c r="C90" s="4" t="n">
        <v>2</v>
      </c>
      <c r="D90" s="6" t="n">
        <v>33.8044033050537</v>
      </c>
      <c r="E90" s="18" t="s">
        <v>863</v>
      </c>
      <c r="F90" s="18" t="s">
        <v>616</v>
      </c>
      <c r="G90" s="4" t="s">
        <v>471</v>
      </c>
      <c r="H90" s="4" t="s">
        <v>949</v>
      </c>
      <c r="I90" s="4"/>
    </row>
    <row r="91" customFormat="false" ht="15" hidden="false" customHeight="true" outlineLevel="0" collapsed="false">
      <c r="A91" s="4" t="s">
        <v>220</v>
      </c>
      <c r="B91" s="4" t="s">
        <v>155</v>
      </c>
      <c r="C91" s="4" t="n">
        <v>3</v>
      </c>
      <c r="D91" s="6" t="n">
        <v>33.8614032268524</v>
      </c>
      <c r="E91" s="18" t="s">
        <v>866</v>
      </c>
      <c r="F91" s="18" t="s">
        <v>616</v>
      </c>
      <c r="G91" s="4" t="s">
        <v>71</v>
      </c>
      <c r="H91" s="4" t="s">
        <v>950</v>
      </c>
      <c r="I91" s="4"/>
    </row>
    <row r="92" customFormat="false" ht="15" hidden="false" customHeight="true" outlineLevel="0" collapsed="false">
      <c r="A92" s="4" t="s">
        <v>220</v>
      </c>
      <c r="B92" s="4" t="s">
        <v>155</v>
      </c>
      <c r="C92" s="4" t="n">
        <v>4</v>
      </c>
      <c r="D92" s="6" t="n">
        <v>56.5834033489227</v>
      </c>
      <c r="E92" s="18" t="s">
        <v>161</v>
      </c>
      <c r="F92" s="18" t="s">
        <v>619</v>
      </c>
      <c r="G92" s="4" t="s">
        <v>552</v>
      </c>
      <c r="H92" s="4" t="s">
        <v>951</v>
      </c>
      <c r="I92" s="4"/>
    </row>
    <row r="93" customFormat="false" ht="15" hidden="false" customHeight="true" outlineLevel="0" collapsed="false">
      <c r="A93" s="4" t="s">
        <v>224</v>
      </c>
      <c r="B93" s="4" t="s">
        <v>155</v>
      </c>
      <c r="C93" s="4" t="n">
        <v>1</v>
      </c>
      <c r="D93" s="6" t="n">
        <v>13.7021813392639</v>
      </c>
      <c r="E93" s="18" t="s">
        <v>62</v>
      </c>
      <c r="F93" s="18" t="s">
        <v>225</v>
      </c>
      <c r="G93" s="4" t="s">
        <v>858</v>
      </c>
      <c r="H93" s="4" t="s">
        <v>952</v>
      </c>
      <c r="I93" s="4"/>
    </row>
    <row r="94" customFormat="false" ht="15" hidden="false" customHeight="true" outlineLevel="0" collapsed="false">
      <c r="A94" s="4" t="s">
        <v>224</v>
      </c>
      <c r="B94" s="4" t="s">
        <v>155</v>
      </c>
      <c r="C94" s="4" t="n">
        <v>2</v>
      </c>
      <c r="D94" s="6" t="n">
        <v>28.2751812934875</v>
      </c>
      <c r="E94" s="18" t="s">
        <v>222</v>
      </c>
      <c r="F94" s="18" t="s">
        <v>86</v>
      </c>
      <c r="G94" s="4" t="s">
        <v>57</v>
      </c>
      <c r="H94" s="4" t="s">
        <v>953</v>
      </c>
      <c r="I94" s="4"/>
    </row>
    <row r="95" customFormat="false" ht="15" hidden="false" customHeight="true" outlineLevel="0" collapsed="false">
      <c r="A95" s="4" t="s">
        <v>224</v>
      </c>
      <c r="B95" s="4" t="s">
        <v>155</v>
      </c>
      <c r="C95" s="4" t="n">
        <v>3</v>
      </c>
      <c r="D95" s="6" t="n">
        <v>36.936181306839</v>
      </c>
      <c r="E95" s="18" t="s">
        <v>863</v>
      </c>
      <c r="F95" s="18" t="s">
        <v>622</v>
      </c>
      <c r="G95" s="4" t="s">
        <v>471</v>
      </c>
      <c r="H95" s="4" t="s">
        <v>954</v>
      </c>
      <c r="I95" s="4"/>
    </row>
    <row r="96" customFormat="false" ht="15" hidden="false" customHeight="true" outlineLevel="0" collapsed="false">
      <c r="A96" s="4" t="s">
        <v>224</v>
      </c>
      <c r="B96" s="4" t="s">
        <v>155</v>
      </c>
      <c r="C96" s="4" t="n">
        <v>4</v>
      </c>
      <c r="D96" s="6" t="n">
        <v>50.6221811771393</v>
      </c>
      <c r="E96" s="18" t="s">
        <v>861</v>
      </c>
      <c r="F96" s="18" t="s">
        <v>484</v>
      </c>
      <c r="G96" s="4" t="s">
        <v>467</v>
      </c>
      <c r="H96" s="4" t="s">
        <v>955</v>
      </c>
      <c r="I96" s="4"/>
    </row>
    <row r="97" customFormat="false" ht="15" hidden="false" customHeight="true" outlineLevel="0" collapsed="false">
      <c r="A97" s="4" t="s">
        <v>238</v>
      </c>
      <c r="B97" s="4" t="s">
        <v>230</v>
      </c>
      <c r="C97" s="4" t="n">
        <v>1</v>
      </c>
      <c r="D97" s="6" t="n">
        <v>4.14656972885132</v>
      </c>
      <c r="E97" s="18" t="s">
        <v>241</v>
      </c>
      <c r="F97" s="18" t="s">
        <v>239</v>
      </c>
      <c r="G97" s="4" t="s">
        <v>858</v>
      </c>
      <c r="H97" s="4" t="s">
        <v>956</v>
      </c>
      <c r="I97" s="4"/>
    </row>
    <row r="98" customFormat="false" ht="15" hidden="false" customHeight="true" outlineLevel="0" collapsed="false">
      <c r="A98" s="4" t="s">
        <v>238</v>
      </c>
      <c r="B98" s="4" t="s">
        <v>230</v>
      </c>
      <c r="C98" s="4" t="n">
        <v>2</v>
      </c>
      <c r="D98" s="6" t="n">
        <v>31.2115697860718</v>
      </c>
      <c r="E98" s="18" t="s">
        <v>222</v>
      </c>
      <c r="F98" s="18" t="s">
        <v>630</v>
      </c>
      <c r="G98" s="4" t="s">
        <v>57</v>
      </c>
      <c r="H98" s="4" t="s">
        <v>957</v>
      </c>
      <c r="I98" s="4"/>
    </row>
    <row r="99" customFormat="false" ht="15" hidden="false" customHeight="true" outlineLevel="0" collapsed="false">
      <c r="A99" s="4" t="s">
        <v>238</v>
      </c>
      <c r="B99" s="4" t="s">
        <v>230</v>
      </c>
      <c r="C99" s="4" t="n">
        <v>3</v>
      </c>
      <c r="D99" s="6" t="n">
        <v>47.0415697097778</v>
      </c>
      <c r="E99" s="18" t="s">
        <v>888</v>
      </c>
      <c r="F99" s="18" t="s">
        <v>632</v>
      </c>
      <c r="G99" s="4" t="s">
        <v>503</v>
      </c>
      <c r="H99" s="4" t="s">
        <v>958</v>
      </c>
      <c r="I99" s="4"/>
    </row>
    <row r="100" customFormat="false" ht="15" hidden="false" customHeight="true" outlineLevel="0" collapsed="false">
      <c r="A100" s="4" t="s">
        <v>243</v>
      </c>
      <c r="B100" s="4" t="s">
        <v>230</v>
      </c>
      <c r="C100" s="4" t="n">
        <v>1</v>
      </c>
      <c r="D100" s="6" t="n">
        <v>18.8288381099701</v>
      </c>
      <c r="E100" s="18" t="s">
        <v>247</v>
      </c>
      <c r="F100" s="18" t="s">
        <v>634</v>
      </c>
      <c r="G100" s="4" t="s">
        <v>858</v>
      </c>
      <c r="H100" s="4" t="s">
        <v>959</v>
      </c>
      <c r="I100" s="4"/>
    </row>
    <row r="101" customFormat="false" ht="15" hidden="false" customHeight="true" outlineLevel="0" collapsed="false">
      <c r="A101" s="4" t="s">
        <v>243</v>
      </c>
      <c r="B101" s="4" t="s">
        <v>230</v>
      </c>
      <c r="C101" s="4" t="n">
        <v>2</v>
      </c>
      <c r="D101" s="6" t="n">
        <v>33.1368381977081</v>
      </c>
      <c r="E101" s="18" t="s">
        <v>222</v>
      </c>
      <c r="F101" s="18" t="s">
        <v>86</v>
      </c>
      <c r="G101" s="4" t="s">
        <v>57</v>
      </c>
      <c r="H101" s="4" t="s">
        <v>960</v>
      </c>
      <c r="I101" s="4"/>
    </row>
    <row r="102" customFormat="false" ht="15" hidden="false" customHeight="true" outlineLevel="0" collapsed="false">
      <c r="A102" s="4" t="s">
        <v>243</v>
      </c>
      <c r="B102" s="4" t="s">
        <v>230</v>
      </c>
      <c r="C102" s="4" t="n">
        <v>3</v>
      </c>
      <c r="D102" s="6" t="n">
        <v>45.5188381671906</v>
      </c>
      <c r="E102" s="18" t="s">
        <v>863</v>
      </c>
      <c r="F102" s="18" t="s">
        <v>637</v>
      </c>
      <c r="G102" s="4" t="s">
        <v>471</v>
      </c>
      <c r="H102" s="4" t="s">
        <v>961</v>
      </c>
      <c r="I102" s="4"/>
    </row>
    <row r="103" customFormat="false" ht="15" hidden="false" customHeight="true" outlineLevel="0" collapsed="false">
      <c r="A103" s="4" t="s">
        <v>243</v>
      </c>
      <c r="B103" s="4" t="s">
        <v>230</v>
      </c>
      <c r="C103" s="4" t="n">
        <v>4</v>
      </c>
      <c r="D103" s="6" t="n">
        <v>57.4318382740021</v>
      </c>
      <c r="E103" s="18" t="s">
        <v>861</v>
      </c>
      <c r="F103" s="18" t="s">
        <v>638</v>
      </c>
      <c r="G103" s="4" t="s">
        <v>467</v>
      </c>
      <c r="H103" s="4" t="s">
        <v>962</v>
      </c>
      <c r="I103" s="4"/>
    </row>
    <row r="104" customFormat="false" ht="15" hidden="false" customHeight="true" outlineLevel="0" collapsed="false">
      <c r="A104" s="4" t="s">
        <v>249</v>
      </c>
      <c r="B104" s="4" t="s">
        <v>230</v>
      </c>
      <c r="C104" s="4" t="n">
        <v>1</v>
      </c>
      <c r="D104" s="6" t="n">
        <v>4.7128164768219</v>
      </c>
      <c r="E104" s="18" t="s">
        <v>80</v>
      </c>
      <c r="F104" s="18" t="s">
        <v>250</v>
      </c>
      <c r="G104" s="4" t="s">
        <v>858</v>
      </c>
      <c r="H104" s="4"/>
      <c r="I104" s="4" t="s">
        <v>58</v>
      </c>
    </row>
    <row r="105" customFormat="false" ht="15" hidden="false" customHeight="true" outlineLevel="0" collapsed="false">
      <c r="A105" s="4" t="s">
        <v>249</v>
      </c>
      <c r="B105" s="4" t="s">
        <v>230</v>
      </c>
      <c r="C105" s="4" t="n">
        <v>2</v>
      </c>
      <c r="D105" s="6" t="n">
        <v>40.2798163890839</v>
      </c>
      <c r="E105" s="18" t="s">
        <v>73</v>
      </c>
      <c r="F105" s="18" t="s">
        <v>641</v>
      </c>
      <c r="G105" s="4" t="s">
        <v>858</v>
      </c>
      <c r="H105" s="4" t="s">
        <v>963</v>
      </c>
      <c r="I105" s="4"/>
    </row>
    <row r="106" customFormat="false" ht="15" hidden="false" customHeight="true" outlineLevel="0" collapsed="false">
      <c r="A106" s="4" t="s">
        <v>249</v>
      </c>
      <c r="B106" s="4" t="s">
        <v>230</v>
      </c>
      <c r="C106" s="4" t="n">
        <v>3</v>
      </c>
      <c r="D106" s="6" t="n">
        <v>53.7928164005279</v>
      </c>
      <c r="E106" s="18" t="s">
        <v>866</v>
      </c>
      <c r="F106" s="18" t="s">
        <v>481</v>
      </c>
      <c r="G106" s="4" t="s">
        <v>71</v>
      </c>
      <c r="H106" s="4" t="s">
        <v>964</v>
      </c>
      <c r="I106" s="4"/>
    </row>
    <row r="107" customFormat="false" ht="15" hidden="false" customHeight="true" outlineLevel="0" collapsed="false">
      <c r="A107" s="4" t="s">
        <v>249</v>
      </c>
      <c r="B107" s="4" t="s">
        <v>230</v>
      </c>
      <c r="C107" s="4" t="n">
        <v>4</v>
      </c>
      <c r="D107" s="6" t="n">
        <v>59.6798164844513</v>
      </c>
      <c r="E107" s="18" t="s">
        <v>863</v>
      </c>
      <c r="F107" s="18" t="s">
        <v>642</v>
      </c>
      <c r="G107" s="4" t="s">
        <v>471</v>
      </c>
      <c r="H107" s="4" t="s">
        <v>965</v>
      </c>
      <c r="I107" s="4"/>
    </row>
    <row r="108" customFormat="false" ht="15" hidden="false" customHeight="true" outlineLevel="0" collapsed="false">
      <c r="A108" s="4" t="s">
        <v>249</v>
      </c>
      <c r="B108" s="4" t="s">
        <v>230</v>
      </c>
      <c r="C108" s="4" t="n">
        <v>5</v>
      </c>
      <c r="D108" s="6" t="n">
        <v>65.86181640625</v>
      </c>
      <c r="E108" s="18" t="s">
        <v>861</v>
      </c>
      <c r="F108" s="18" t="s">
        <v>643</v>
      </c>
      <c r="G108" s="4" t="s">
        <v>467</v>
      </c>
      <c r="H108" s="4" t="s">
        <v>966</v>
      </c>
      <c r="I108" s="4"/>
    </row>
    <row r="109" customFormat="false" ht="15" hidden="false" customHeight="true" outlineLevel="0" collapsed="false">
      <c r="A109" s="4" t="s">
        <v>254</v>
      </c>
      <c r="B109" s="4" t="s">
        <v>230</v>
      </c>
      <c r="C109" s="4" t="n">
        <v>1</v>
      </c>
      <c r="D109" s="6" t="n">
        <v>0.171198844909668</v>
      </c>
      <c r="E109" s="18" t="s">
        <v>102</v>
      </c>
      <c r="F109" s="18" t="s">
        <v>874</v>
      </c>
      <c r="G109" s="4" t="s">
        <v>858</v>
      </c>
      <c r="H109" s="4" t="s">
        <v>967</v>
      </c>
      <c r="I109" s="4"/>
    </row>
    <row r="110" customFormat="false" ht="15" hidden="false" customHeight="true" outlineLevel="0" collapsed="false">
      <c r="A110" s="4" t="s">
        <v>254</v>
      </c>
      <c r="B110" s="4" t="s">
        <v>230</v>
      </c>
      <c r="C110" s="4" t="n">
        <v>2</v>
      </c>
      <c r="D110" s="6" t="n">
        <v>41.9801168441773</v>
      </c>
      <c r="E110" s="18" t="s">
        <v>863</v>
      </c>
      <c r="F110" s="18" t="s">
        <v>646</v>
      </c>
      <c r="G110" s="4" t="s">
        <v>471</v>
      </c>
      <c r="H110" s="4" t="s">
        <v>968</v>
      </c>
      <c r="I110" s="4"/>
    </row>
    <row r="111" customFormat="false" ht="15" hidden="false" customHeight="true" outlineLevel="0" collapsed="false">
      <c r="A111" s="4" t="s">
        <v>254</v>
      </c>
      <c r="B111" s="4" t="s">
        <v>230</v>
      </c>
      <c r="C111" s="4" t="n">
        <v>3</v>
      </c>
      <c r="D111" s="6" t="n">
        <v>63.0811169147492</v>
      </c>
      <c r="E111" s="18" t="s">
        <v>902</v>
      </c>
      <c r="F111" s="18" t="s">
        <v>649</v>
      </c>
      <c r="G111" s="4" t="s">
        <v>523</v>
      </c>
      <c r="H111" s="4" t="s">
        <v>969</v>
      </c>
      <c r="I111" s="4"/>
    </row>
    <row r="112" customFormat="false" ht="15" hidden="false" customHeight="true" outlineLevel="0" collapsed="false">
      <c r="A112" s="4" t="s">
        <v>254</v>
      </c>
      <c r="B112" s="4" t="s">
        <v>230</v>
      </c>
      <c r="C112" s="4" t="n">
        <v>4</v>
      </c>
      <c r="D112" s="6" t="n">
        <v>63.1531167030335</v>
      </c>
      <c r="E112" s="18" t="s">
        <v>222</v>
      </c>
      <c r="F112" s="18" t="s">
        <v>649</v>
      </c>
      <c r="G112" s="4" t="s">
        <v>57</v>
      </c>
      <c r="H112" s="4" t="s">
        <v>970</v>
      </c>
      <c r="I112" s="4"/>
    </row>
    <row r="113" customFormat="false" ht="15" hidden="false" customHeight="true" outlineLevel="0" collapsed="false">
      <c r="A113" s="4" t="s">
        <v>254</v>
      </c>
      <c r="B113" s="4" t="s">
        <v>230</v>
      </c>
      <c r="C113" s="4" t="n">
        <v>5</v>
      </c>
      <c r="D113" s="6" t="n">
        <v>72.9131166934967</v>
      </c>
      <c r="E113" s="18" t="s">
        <v>861</v>
      </c>
      <c r="F113" s="18" t="s">
        <v>650</v>
      </c>
      <c r="G113" s="4" t="s">
        <v>467</v>
      </c>
      <c r="H113" s="4" t="s">
        <v>971</v>
      </c>
      <c r="I113" s="4"/>
    </row>
    <row r="114" customFormat="false" ht="15" hidden="false" customHeight="true" outlineLevel="0" collapsed="false">
      <c r="A114" s="4" t="s">
        <v>254</v>
      </c>
      <c r="B114" s="4" t="s">
        <v>230</v>
      </c>
      <c r="C114" s="4" t="n">
        <v>6</v>
      </c>
      <c r="D114" s="6" t="n">
        <v>83.0461168289185</v>
      </c>
      <c r="E114" s="18" t="s">
        <v>863</v>
      </c>
      <c r="F114" s="18" t="s">
        <v>651</v>
      </c>
      <c r="G114" s="4" t="s">
        <v>471</v>
      </c>
      <c r="H114" s="4" t="s">
        <v>972</v>
      </c>
      <c r="I114" s="4"/>
    </row>
    <row r="115" customFormat="false" ht="15" hidden="false" customHeight="true" outlineLevel="0" collapsed="false">
      <c r="A115" s="4" t="s">
        <v>258</v>
      </c>
      <c r="B115" s="4" t="s">
        <v>230</v>
      </c>
      <c r="C115" s="4" t="n">
        <v>1</v>
      </c>
      <c r="D115" s="6" t="n">
        <v>43.0012738704681</v>
      </c>
      <c r="E115" s="18" t="s">
        <v>161</v>
      </c>
      <c r="F115" s="18" t="s">
        <v>655</v>
      </c>
      <c r="G115" s="4" t="s">
        <v>552</v>
      </c>
      <c r="H115" s="4" t="s">
        <v>973</v>
      </c>
      <c r="I115" s="4"/>
    </row>
    <row r="116" customFormat="false" ht="15" hidden="false" customHeight="true" outlineLevel="0" collapsed="false">
      <c r="A116" s="4" t="s">
        <v>258</v>
      </c>
      <c r="B116" s="4" t="s">
        <v>230</v>
      </c>
      <c r="C116" s="4" t="n">
        <v>2</v>
      </c>
      <c r="D116" s="6" t="n">
        <v>53.0038509368896</v>
      </c>
      <c r="E116" s="18" t="s">
        <v>157</v>
      </c>
      <c r="F116" s="18" t="s">
        <v>656</v>
      </c>
      <c r="G116" s="4" t="s">
        <v>553</v>
      </c>
      <c r="H116" s="4" t="s">
        <v>974</v>
      </c>
      <c r="I116" s="4"/>
    </row>
    <row r="117" customFormat="false" ht="15" hidden="false" customHeight="true" outlineLevel="0" collapsed="false">
      <c r="A117" s="4" t="s">
        <v>258</v>
      </c>
      <c r="B117" s="4" t="s">
        <v>230</v>
      </c>
      <c r="C117" s="4" t="n">
        <v>3</v>
      </c>
      <c r="D117" s="6" t="n">
        <v>61.5004870891571</v>
      </c>
      <c r="E117" s="18" t="s">
        <v>975</v>
      </c>
      <c r="F117" s="18" t="s">
        <v>657</v>
      </c>
      <c r="G117" s="4" t="s">
        <v>658</v>
      </c>
      <c r="H117" s="4" t="s">
        <v>976</v>
      </c>
      <c r="I117" s="4"/>
    </row>
    <row r="118" customFormat="false" ht="15" hidden="false" customHeight="true" outlineLevel="0" collapsed="false">
      <c r="A118" s="4" t="s">
        <v>258</v>
      </c>
      <c r="B118" s="4" t="s">
        <v>230</v>
      </c>
      <c r="C118" s="4" t="n">
        <v>4</v>
      </c>
      <c r="D118" s="6" t="n">
        <v>87.5011827945709</v>
      </c>
      <c r="E118" s="18" t="s">
        <v>977</v>
      </c>
      <c r="F118" s="18" t="s">
        <v>665</v>
      </c>
      <c r="G118" s="4" t="s">
        <v>666</v>
      </c>
      <c r="H118" s="4" t="s">
        <v>978</v>
      </c>
      <c r="I118" s="4"/>
    </row>
    <row r="119" customFormat="false" ht="15" hidden="false" customHeight="true" outlineLevel="0" collapsed="false">
      <c r="A119" s="4" t="s">
        <v>268</v>
      </c>
      <c r="B119" s="4" t="s">
        <v>230</v>
      </c>
      <c r="C119" s="4" t="n">
        <v>1</v>
      </c>
      <c r="D119" s="6" t="n">
        <v>8.12965393066406</v>
      </c>
      <c r="E119" s="18" t="s">
        <v>102</v>
      </c>
      <c r="F119" s="18" t="s">
        <v>269</v>
      </c>
      <c r="G119" s="4" t="s">
        <v>858</v>
      </c>
      <c r="H119" s="4" t="s">
        <v>979</v>
      </c>
      <c r="I119" s="4"/>
    </row>
    <row r="120" customFormat="false" ht="15" hidden="false" customHeight="true" outlineLevel="0" collapsed="false">
      <c r="A120" s="4" t="s">
        <v>268</v>
      </c>
      <c r="B120" s="4" t="s">
        <v>230</v>
      </c>
      <c r="C120" s="4" t="n">
        <v>2</v>
      </c>
      <c r="D120" s="6" t="n">
        <v>19.3986539840698</v>
      </c>
      <c r="E120" s="18" t="s">
        <v>863</v>
      </c>
      <c r="F120" s="18" t="s">
        <v>671</v>
      </c>
      <c r="G120" s="4" t="s">
        <v>471</v>
      </c>
      <c r="H120" s="4" t="s">
        <v>980</v>
      </c>
      <c r="I120" s="4"/>
    </row>
    <row r="121" customFormat="false" ht="15" hidden="false" customHeight="true" outlineLevel="0" collapsed="false">
      <c r="A121" s="4" t="s">
        <v>268</v>
      </c>
      <c r="B121" s="4" t="s">
        <v>230</v>
      </c>
      <c r="C121" s="4" t="n">
        <v>3</v>
      </c>
      <c r="D121" s="6" t="n">
        <v>31.5986540317535</v>
      </c>
      <c r="E121" s="18" t="s">
        <v>861</v>
      </c>
      <c r="F121" s="18" t="s">
        <v>516</v>
      </c>
      <c r="G121" s="4" t="s">
        <v>467</v>
      </c>
      <c r="H121" s="4" t="s">
        <v>981</v>
      </c>
      <c r="I121" s="4"/>
    </row>
    <row r="122" customFormat="false" ht="15" hidden="false" customHeight="true" outlineLevel="0" collapsed="false">
      <c r="A122" s="4" t="s">
        <v>272</v>
      </c>
      <c r="B122" s="4" t="s">
        <v>230</v>
      </c>
      <c r="C122" s="4" t="n">
        <v>1</v>
      </c>
      <c r="D122" s="6" t="n">
        <v>59.351345539093</v>
      </c>
      <c r="E122" s="18" t="s">
        <v>275</v>
      </c>
      <c r="F122" s="18" t="s">
        <v>678</v>
      </c>
      <c r="G122" s="4" t="s">
        <v>858</v>
      </c>
      <c r="H122" s="4" t="s">
        <v>982</v>
      </c>
      <c r="I122" s="4"/>
    </row>
    <row r="123" customFormat="false" ht="15" hidden="false" customHeight="true" outlineLevel="0" collapsed="false">
      <c r="A123" s="4" t="s">
        <v>272</v>
      </c>
      <c r="B123" s="4" t="s">
        <v>230</v>
      </c>
      <c r="C123" s="4" t="n">
        <v>2</v>
      </c>
      <c r="D123" s="6" t="n">
        <v>72.8073453903198</v>
      </c>
      <c r="E123" s="18" t="s">
        <v>863</v>
      </c>
      <c r="F123" s="18" t="s">
        <v>496</v>
      </c>
      <c r="G123" s="4" t="s">
        <v>471</v>
      </c>
      <c r="H123" s="4" t="s">
        <v>983</v>
      </c>
      <c r="I123" s="4"/>
    </row>
    <row r="124" customFormat="false" ht="15" hidden="false" customHeight="true" outlineLevel="0" collapsed="false">
      <c r="A124" s="4" t="s">
        <v>272</v>
      </c>
      <c r="B124" s="4" t="s">
        <v>230</v>
      </c>
      <c r="C124" s="4" t="n">
        <v>3</v>
      </c>
      <c r="D124" s="6" t="n">
        <v>87.6533453464508</v>
      </c>
      <c r="E124" s="18" t="s">
        <v>861</v>
      </c>
      <c r="F124" s="18" t="s">
        <v>484</v>
      </c>
      <c r="G124" s="4" t="s">
        <v>467</v>
      </c>
      <c r="H124" s="4" t="s">
        <v>984</v>
      </c>
      <c r="I124" s="4"/>
    </row>
    <row r="125" customFormat="false" ht="15" hidden="false" customHeight="true" outlineLevel="0" collapsed="false">
      <c r="A125" s="4" t="s">
        <v>277</v>
      </c>
      <c r="B125" s="4" t="s">
        <v>230</v>
      </c>
      <c r="C125" s="4" t="n">
        <v>1</v>
      </c>
      <c r="D125" s="6" t="n">
        <v>13.9756512641907</v>
      </c>
      <c r="E125" s="18" t="s">
        <v>73</v>
      </c>
      <c r="F125" s="18" t="s">
        <v>516</v>
      </c>
      <c r="G125" s="4" t="s">
        <v>858</v>
      </c>
      <c r="H125" s="4" t="s">
        <v>985</v>
      </c>
      <c r="I125" s="4"/>
    </row>
    <row r="126" customFormat="false" ht="15" hidden="false" customHeight="true" outlineLevel="0" collapsed="false">
      <c r="A126" s="4" t="s">
        <v>277</v>
      </c>
      <c r="B126" s="4" t="s">
        <v>230</v>
      </c>
      <c r="C126" s="4" t="n">
        <v>2</v>
      </c>
      <c r="D126" s="6" t="n">
        <v>28.2106513977051</v>
      </c>
      <c r="E126" s="18" t="s">
        <v>986</v>
      </c>
      <c r="F126" s="18" t="s">
        <v>680</v>
      </c>
      <c r="G126" s="4" t="s">
        <v>681</v>
      </c>
      <c r="H126" s="4" t="s">
        <v>987</v>
      </c>
      <c r="I126" s="4"/>
    </row>
    <row r="127" customFormat="false" ht="15" hidden="false" customHeight="true" outlineLevel="0" collapsed="false">
      <c r="A127" s="4" t="s">
        <v>280</v>
      </c>
      <c r="B127" s="4" t="s">
        <v>230</v>
      </c>
      <c r="C127" s="4" t="n">
        <v>1</v>
      </c>
      <c r="D127" s="6" t="n">
        <v>9.51021313667297</v>
      </c>
      <c r="E127" s="18" t="s">
        <v>222</v>
      </c>
      <c r="F127" s="18" t="s">
        <v>683</v>
      </c>
      <c r="G127" s="4" t="s">
        <v>57</v>
      </c>
      <c r="H127" s="4" t="s">
        <v>988</v>
      </c>
      <c r="I127" s="4"/>
    </row>
    <row r="128" customFormat="false" ht="15" hidden="false" customHeight="true" outlineLevel="0" collapsed="false">
      <c r="A128" s="4" t="s">
        <v>280</v>
      </c>
      <c r="B128" s="4" t="s">
        <v>230</v>
      </c>
      <c r="C128" s="4" t="n">
        <v>2</v>
      </c>
      <c r="D128" s="6" t="n">
        <v>39.6112470626831</v>
      </c>
      <c r="E128" s="18" t="s">
        <v>161</v>
      </c>
      <c r="F128" s="18" t="s">
        <v>692</v>
      </c>
      <c r="G128" s="4" t="s">
        <v>552</v>
      </c>
      <c r="H128" s="4" t="s">
        <v>989</v>
      </c>
      <c r="I128" s="4"/>
    </row>
    <row r="129" customFormat="false" ht="15" hidden="false" customHeight="true" outlineLevel="0" collapsed="false">
      <c r="A129" s="4" t="s">
        <v>280</v>
      </c>
      <c r="B129" s="4" t="s">
        <v>230</v>
      </c>
      <c r="C129" s="4" t="n">
        <v>3</v>
      </c>
      <c r="D129" s="6" t="n">
        <v>49.5104303359985</v>
      </c>
      <c r="E129" s="18" t="s">
        <v>863</v>
      </c>
      <c r="F129" s="18" t="s">
        <v>693</v>
      </c>
      <c r="G129" s="4" t="s">
        <v>471</v>
      </c>
      <c r="H129" s="4" t="s">
        <v>990</v>
      </c>
      <c r="I129" s="4"/>
    </row>
    <row r="130" customFormat="false" ht="15" hidden="false" customHeight="true" outlineLevel="0" collapsed="false">
      <c r="A130" s="4" t="s">
        <v>290</v>
      </c>
      <c r="B130" s="4" t="s">
        <v>230</v>
      </c>
      <c r="C130" s="4" t="n">
        <v>1</v>
      </c>
      <c r="D130" s="6" t="n">
        <v>5.47398829460144</v>
      </c>
      <c r="E130" s="18" t="s">
        <v>102</v>
      </c>
      <c r="F130" s="18" t="s">
        <v>291</v>
      </c>
      <c r="G130" s="4" t="s">
        <v>858</v>
      </c>
      <c r="H130" s="4" t="s">
        <v>991</v>
      </c>
      <c r="I130" s="4"/>
    </row>
    <row r="131" customFormat="false" ht="15" hidden="false" customHeight="true" outlineLevel="0" collapsed="false">
      <c r="A131" s="4" t="s">
        <v>290</v>
      </c>
      <c r="B131" s="4" t="s">
        <v>230</v>
      </c>
      <c r="C131" s="4" t="n">
        <v>2</v>
      </c>
      <c r="D131" s="6" t="n">
        <v>19.3499882221222</v>
      </c>
      <c r="E131" s="18" t="s">
        <v>866</v>
      </c>
      <c r="F131" s="18" t="s">
        <v>481</v>
      </c>
      <c r="G131" s="4" t="s">
        <v>71</v>
      </c>
      <c r="H131" s="4" t="s">
        <v>992</v>
      </c>
      <c r="I131" s="4"/>
    </row>
    <row r="132" customFormat="false" ht="15" hidden="false" customHeight="true" outlineLevel="0" collapsed="false">
      <c r="A132" s="4" t="s">
        <v>290</v>
      </c>
      <c r="B132" s="4" t="s">
        <v>230</v>
      </c>
      <c r="C132" s="4" t="n">
        <v>3</v>
      </c>
      <c r="D132" s="6" t="n">
        <v>34.1649882793426</v>
      </c>
      <c r="E132" s="18" t="s">
        <v>888</v>
      </c>
      <c r="F132" s="18" t="s">
        <v>697</v>
      </c>
      <c r="G132" s="4" t="s">
        <v>467</v>
      </c>
      <c r="H132" s="4" t="s">
        <v>993</v>
      </c>
      <c r="I132" s="4"/>
    </row>
    <row r="133" customFormat="false" ht="15" hidden="false" customHeight="true" outlineLevel="0" collapsed="false">
      <c r="A133" s="4" t="s">
        <v>294</v>
      </c>
      <c r="B133" s="4" t="s">
        <v>230</v>
      </c>
      <c r="C133" s="4" t="n">
        <v>1</v>
      </c>
      <c r="D133" s="6" t="n">
        <v>22.5535373687744</v>
      </c>
      <c r="E133" s="18" t="s">
        <v>241</v>
      </c>
      <c r="F133" s="18" t="s">
        <v>146</v>
      </c>
      <c r="G133" s="4" t="s">
        <v>858</v>
      </c>
      <c r="H133" s="4" t="s">
        <v>994</v>
      </c>
      <c r="I133" s="4"/>
    </row>
    <row r="134" customFormat="false" ht="15" hidden="false" customHeight="true" outlineLevel="0" collapsed="false">
      <c r="A134" s="4" t="s">
        <v>294</v>
      </c>
      <c r="B134" s="4" t="s">
        <v>230</v>
      </c>
      <c r="C134" s="4" t="n">
        <v>2</v>
      </c>
      <c r="D134" s="6" t="n">
        <v>35.7885375022888</v>
      </c>
      <c r="E134" s="18" t="s">
        <v>222</v>
      </c>
      <c r="F134" s="18" t="s">
        <v>86</v>
      </c>
      <c r="G134" s="4" t="s">
        <v>57</v>
      </c>
      <c r="H134" s="4" t="s">
        <v>995</v>
      </c>
      <c r="I134" s="4"/>
    </row>
    <row r="135" customFormat="false" ht="15" hidden="false" customHeight="true" outlineLevel="0" collapsed="false">
      <c r="A135" s="4" t="s">
        <v>294</v>
      </c>
      <c r="B135" s="4" t="s">
        <v>230</v>
      </c>
      <c r="C135" s="4" t="n">
        <v>3</v>
      </c>
      <c r="D135" s="6" t="n">
        <v>69.314537525177</v>
      </c>
      <c r="E135" s="18" t="s">
        <v>861</v>
      </c>
      <c r="F135" s="18" t="s">
        <v>705</v>
      </c>
      <c r="G135" s="4" t="s">
        <v>467</v>
      </c>
      <c r="H135" s="4" t="s">
        <v>996</v>
      </c>
      <c r="I135" s="4"/>
    </row>
    <row r="136" customFormat="false" ht="15" hidden="false" customHeight="true" outlineLevel="0" collapsed="false">
      <c r="A136" s="4" t="s">
        <v>294</v>
      </c>
      <c r="B136" s="4" t="s">
        <v>230</v>
      </c>
      <c r="C136" s="4" t="n">
        <v>4</v>
      </c>
      <c r="D136" s="6" t="n">
        <v>80.1475374698639</v>
      </c>
      <c r="E136" s="18" t="s">
        <v>863</v>
      </c>
      <c r="F136" s="18" t="s">
        <v>516</v>
      </c>
      <c r="G136" s="4" t="s">
        <v>471</v>
      </c>
      <c r="H136" s="4" t="s">
        <v>997</v>
      </c>
      <c r="I136" s="4"/>
    </row>
    <row r="137" customFormat="false" ht="15" hidden="false" customHeight="true" outlineLevel="0" collapsed="false">
      <c r="A137" s="4" t="s">
        <v>297</v>
      </c>
      <c r="B137" s="4" t="s">
        <v>230</v>
      </c>
      <c r="C137" s="4" t="n">
        <v>1</v>
      </c>
      <c r="D137" s="6" t="n">
        <v>24.7665641307831</v>
      </c>
      <c r="E137" s="18" t="s">
        <v>73</v>
      </c>
      <c r="F137" s="18" t="s">
        <v>712</v>
      </c>
      <c r="G137" s="4" t="s">
        <v>858</v>
      </c>
      <c r="H137" s="4" t="s">
        <v>998</v>
      </c>
      <c r="I137" s="4"/>
    </row>
    <row r="138" customFormat="false" ht="15" hidden="false" customHeight="true" outlineLevel="0" collapsed="false">
      <c r="A138" s="4" t="s">
        <v>297</v>
      </c>
      <c r="B138" s="4" t="s">
        <v>230</v>
      </c>
      <c r="C138" s="4" t="n">
        <v>2</v>
      </c>
      <c r="D138" s="6" t="n">
        <v>41.5375640392304</v>
      </c>
      <c r="E138" s="18" t="s">
        <v>999</v>
      </c>
      <c r="F138" s="18" t="s">
        <v>714</v>
      </c>
      <c r="G138" s="4" t="s">
        <v>57</v>
      </c>
      <c r="H138" s="4" t="s">
        <v>1000</v>
      </c>
      <c r="I138" s="4"/>
    </row>
    <row r="139" customFormat="false" ht="15" hidden="false" customHeight="true" outlineLevel="0" collapsed="false">
      <c r="A139" s="4" t="s">
        <v>301</v>
      </c>
      <c r="B139" s="4" t="s">
        <v>230</v>
      </c>
      <c r="C139" s="4" t="n">
        <v>1</v>
      </c>
      <c r="D139" s="6" t="n">
        <v>49.7602624893189</v>
      </c>
      <c r="E139" s="18" t="s">
        <v>112</v>
      </c>
      <c r="F139" s="18" t="s">
        <v>720</v>
      </c>
      <c r="G139" s="4" t="s">
        <v>858</v>
      </c>
      <c r="H139" s="4" t="s">
        <v>1001</v>
      </c>
      <c r="I139" s="4"/>
    </row>
    <row r="140" customFormat="false" ht="15" hidden="false" customHeight="true" outlineLevel="0" collapsed="false">
      <c r="A140" s="4" t="s">
        <v>301</v>
      </c>
      <c r="B140" s="4" t="s">
        <v>230</v>
      </c>
      <c r="C140" s="4" t="n">
        <v>2</v>
      </c>
      <c r="D140" s="6" t="n">
        <v>62.4342625141144</v>
      </c>
      <c r="E140" s="18" t="s">
        <v>222</v>
      </c>
      <c r="F140" s="18" t="s">
        <v>86</v>
      </c>
      <c r="G140" s="4" t="s">
        <v>57</v>
      </c>
      <c r="H140" s="4" t="s">
        <v>1002</v>
      </c>
      <c r="I140" s="4"/>
    </row>
    <row r="141" customFormat="false" ht="15" hidden="false" customHeight="true" outlineLevel="0" collapsed="false">
      <c r="A141" s="4" t="s">
        <v>301</v>
      </c>
      <c r="B141" s="4" t="s">
        <v>230</v>
      </c>
      <c r="C141" s="4" t="n">
        <v>3</v>
      </c>
      <c r="D141" s="6" t="n">
        <v>79.0542623996735</v>
      </c>
      <c r="E141" s="18" t="s">
        <v>888</v>
      </c>
      <c r="F141" s="18" t="s">
        <v>721</v>
      </c>
      <c r="G141" s="4" t="s">
        <v>467</v>
      </c>
      <c r="H141" s="4" t="s">
        <v>1003</v>
      </c>
      <c r="I141" s="4"/>
    </row>
    <row r="142" customFormat="false" ht="15" hidden="false" customHeight="true" outlineLevel="0" collapsed="false">
      <c r="A142" s="4" t="s">
        <v>451</v>
      </c>
      <c r="B142" s="4" t="s">
        <v>230</v>
      </c>
      <c r="C142" s="4" t="n">
        <v>1</v>
      </c>
      <c r="D142" s="6" t="n">
        <v>13.1655533313751</v>
      </c>
      <c r="E142" s="18" t="s">
        <v>241</v>
      </c>
      <c r="F142" s="18" t="s">
        <v>722</v>
      </c>
      <c r="G142" s="4" t="s">
        <v>858</v>
      </c>
      <c r="H142" s="4" t="s">
        <v>1004</v>
      </c>
      <c r="I142" s="4"/>
    </row>
    <row r="143" customFormat="false" ht="15" hidden="false" customHeight="true" outlineLevel="0" collapsed="false">
      <c r="A143" s="4" t="s">
        <v>451</v>
      </c>
      <c r="B143" s="4" t="s">
        <v>230</v>
      </c>
      <c r="C143" s="4" t="n">
        <v>2</v>
      </c>
      <c r="D143" s="6" t="n">
        <v>26.1605534553528</v>
      </c>
      <c r="E143" s="18" t="s">
        <v>222</v>
      </c>
      <c r="F143" s="18" t="s">
        <v>86</v>
      </c>
      <c r="G143" s="4" t="s">
        <v>57</v>
      </c>
      <c r="H143" s="4" t="s">
        <v>1005</v>
      </c>
      <c r="I143" s="4"/>
    </row>
    <row r="144" customFormat="false" ht="15" hidden="false" customHeight="true" outlineLevel="0" collapsed="false">
      <c r="A144" s="4" t="s">
        <v>451</v>
      </c>
      <c r="B144" s="4" t="s">
        <v>230</v>
      </c>
      <c r="C144" s="4" t="n">
        <v>3</v>
      </c>
      <c r="D144" s="6" t="n">
        <v>35.6075534820557</v>
      </c>
      <c r="E144" s="18" t="s">
        <v>861</v>
      </c>
      <c r="F144" s="18" t="s">
        <v>499</v>
      </c>
      <c r="G144" s="4" t="s">
        <v>467</v>
      </c>
      <c r="H144" s="4" t="s">
        <v>1006</v>
      </c>
      <c r="I144" s="4"/>
    </row>
    <row r="145" customFormat="false" ht="15" hidden="false" customHeight="true" outlineLevel="0" collapsed="false">
      <c r="A145" s="4" t="s">
        <v>451</v>
      </c>
      <c r="B145" s="4" t="s">
        <v>230</v>
      </c>
      <c r="C145" s="4" t="n">
        <v>4</v>
      </c>
      <c r="D145" s="6" t="n">
        <v>47.7395534515381</v>
      </c>
      <c r="E145" s="18" t="s">
        <v>863</v>
      </c>
      <c r="F145" s="18" t="s">
        <v>516</v>
      </c>
      <c r="G145" s="4" t="s">
        <v>471</v>
      </c>
      <c r="H145" s="4" t="s">
        <v>1007</v>
      </c>
      <c r="I145" s="4"/>
    </row>
    <row r="146" customFormat="false" ht="15" hidden="false" customHeight="true" outlineLevel="0" collapsed="false">
      <c r="A146" s="4" t="s">
        <v>307</v>
      </c>
      <c r="B146" s="4" t="s">
        <v>230</v>
      </c>
      <c r="C146" s="4" t="n">
        <v>1</v>
      </c>
      <c r="D146" s="6" t="n">
        <v>7.29624700546265</v>
      </c>
      <c r="E146" s="18" t="s">
        <v>161</v>
      </c>
      <c r="F146" s="18" t="s">
        <v>308</v>
      </c>
      <c r="G146" s="4" t="s">
        <v>552</v>
      </c>
      <c r="H146" s="4" t="s">
        <v>1008</v>
      </c>
      <c r="I146" s="4"/>
    </row>
    <row r="147" customFormat="false" ht="15" hidden="false" customHeight="true" outlineLevel="0" collapsed="false">
      <c r="A147" s="4" t="s">
        <v>307</v>
      </c>
      <c r="B147" s="4" t="s">
        <v>230</v>
      </c>
      <c r="C147" s="4" t="n">
        <v>2</v>
      </c>
      <c r="D147" s="6" t="n">
        <v>11.8961594104767</v>
      </c>
      <c r="E147" s="18" t="s">
        <v>222</v>
      </c>
      <c r="F147" s="18" t="s">
        <v>308</v>
      </c>
      <c r="G147" s="4" t="s">
        <v>57</v>
      </c>
      <c r="H147" s="4" t="s">
        <v>1009</v>
      </c>
      <c r="I147" s="4"/>
    </row>
    <row r="148" customFormat="false" ht="15" hidden="false" customHeight="true" outlineLevel="0" collapsed="false">
      <c r="A148" s="4" t="s">
        <v>307</v>
      </c>
      <c r="B148" s="4" t="s">
        <v>230</v>
      </c>
      <c r="C148" s="4" t="n">
        <v>3</v>
      </c>
      <c r="D148" s="6" t="n">
        <v>26.5966556072235</v>
      </c>
      <c r="E148" s="18" t="s">
        <v>863</v>
      </c>
      <c r="F148" s="18" t="s">
        <v>586</v>
      </c>
      <c r="G148" s="4" t="s">
        <v>471</v>
      </c>
      <c r="H148" s="4" t="s">
        <v>1010</v>
      </c>
      <c r="I148" s="4"/>
    </row>
    <row r="149" customFormat="false" ht="15" hidden="false" customHeight="true" outlineLevel="0" collapsed="false">
      <c r="A149" s="4" t="s">
        <v>310</v>
      </c>
      <c r="B149" s="4" t="s">
        <v>230</v>
      </c>
      <c r="C149" s="4" t="n">
        <v>1</v>
      </c>
      <c r="D149" s="6" t="n">
        <v>24.547966003418</v>
      </c>
      <c r="E149" s="18" t="s">
        <v>73</v>
      </c>
      <c r="F149" s="18" t="s">
        <v>727</v>
      </c>
      <c r="G149" s="4" t="s">
        <v>858</v>
      </c>
      <c r="H149" s="4" t="s">
        <v>1011</v>
      </c>
      <c r="I149" s="4"/>
    </row>
    <row r="150" customFormat="false" ht="15" hidden="false" customHeight="true" outlineLevel="0" collapsed="false">
      <c r="A150" s="4" t="s">
        <v>310</v>
      </c>
      <c r="B150" s="4" t="s">
        <v>230</v>
      </c>
      <c r="C150" s="4" t="n">
        <v>2</v>
      </c>
      <c r="D150" s="6" t="n">
        <v>36.1589660644531</v>
      </c>
      <c r="E150" s="18" t="s">
        <v>866</v>
      </c>
      <c r="F150" s="18" t="s">
        <v>730</v>
      </c>
      <c r="G150" s="4" t="s">
        <v>71</v>
      </c>
      <c r="H150" s="4" t="s">
        <v>1012</v>
      </c>
      <c r="I150" s="4"/>
    </row>
    <row r="151" customFormat="false" ht="15" hidden="false" customHeight="true" outlineLevel="0" collapsed="false">
      <c r="A151" s="4" t="s">
        <v>310</v>
      </c>
      <c r="B151" s="4" t="s">
        <v>230</v>
      </c>
      <c r="C151" s="4" t="n">
        <v>3</v>
      </c>
      <c r="D151" s="6" t="n">
        <v>47.5149660110474</v>
      </c>
      <c r="E151" s="18" t="s">
        <v>861</v>
      </c>
      <c r="F151" s="18" t="s">
        <v>466</v>
      </c>
      <c r="G151" s="4" t="s">
        <v>467</v>
      </c>
      <c r="H151" s="4" t="s">
        <v>1013</v>
      </c>
      <c r="I151" s="4"/>
    </row>
    <row r="152" customFormat="false" ht="15" hidden="false" customHeight="true" outlineLevel="0" collapsed="false">
      <c r="A152" s="4" t="s">
        <v>310</v>
      </c>
      <c r="B152" s="4" t="s">
        <v>230</v>
      </c>
      <c r="C152" s="4" t="n">
        <v>4</v>
      </c>
      <c r="D152" s="6" t="n">
        <v>54.9019660949707</v>
      </c>
      <c r="E152" s="18" t="s">
        <v>863</v>
      </c>
      <c r="F152" s="18" t="s">
        <v>487</v>
      </c>
      <c r="G152" s="4" t="s">
        <v>471</v>
      </c>
      <c r="H152" s="4" t="s">
        <v>1014</v>
      </c>
      <c r="I152" s="4"/>
    </row>
    <row r="153" customFormat="false" ht="15" hidden="false" customHeight="true" outlineLevel="0" collapsed="false">
      <c r="A153" s="4" t="s">
        <v>321</v>
      </c>
      <c r="B153" s="4" t="s">
        <v>230</v>
      </c>
      <c r="C153" s="4" t="n">
        <v>1</v>
      </c>
      <c r="D153" s="6" t="n">
        <v>8.91510629653931</v>
      </c>
      <c r="E153" s="18" t="s">
        <v>241</v>
      </c>
      <c r="F153" s="18" t="s">
        <v>239</v>
      </c>
      <c r="G153" s="4" t="s">
        <v>858</v>
      </c>
      <c r="H153" s="4" t="s">
        <v>1015</v>
      </c>
      <c r="I153" s="4"/>
    </row>
    <row r="154" customFormat="false" ht="15" hidden="false" customHeight="true" outlineLevel="0" collapsed="false">
      <c r="A154" s="4" t="s">
        <v>321</v>
      </c>
      <c r="B154" s="4" t="s">
        <v>230</v>
      </c>
      <c r="C154" s="4" t="n">
        <v>2</v>
      </c>
      <c r="D154" s="6" t="n">
        <v>19.8841061592102</v>
      </c>
      <c r="E154" s="18" t="s">
        <v>863</v>
      </c>
      <c r="F154" s="18" t="s">
        <v>496</v>
      </c>
      <c r="G154" s="4" t="s">
        <v>471</v>
      </c>
      <c r="H154" s="4" t="s">
        <v>1016</v>
      </c>
      <c r="I154" s="4"/>
    </row>
    <row r="155" customFormat="false" ht="15" hidden="false" customHeight="true" outlineLevel="0" collapsed="false">
      <c r="A155" s="4" t="s">
        <v>321</v>
      </c>
      <c r="B155" s="4" t="s">
        <v>230</v>
      </c>
      <c r="C155" s="4" t="n">
        <v>3</v>
      </c>
      <c r="D155" s="6" t="n">
        <v>42.8391063213348</v>
      </c>
      <c r="E155" s="18" t="s">
        <v>902</v>
      </c>
      <c r="F155" s="18" t="s">
        <v>541</v>
      </c>
      <c r="G155" s="4" t="s">
        <v>523</v>
      </c>
      <c r="H155" s="4"/>
      <c r="I155" s="4"/>
    </row>
    <row r="156" customFormat="false" ht="15" hidden="false" customHeight="true" outlineLevel="0" collapsed="false">
      <c r="A156" s="4" t="s">
        <v>321</v>
      </c>
      <c r="B156" s="4" t="s">
        <v>230</v>
      </c>
      <c r="C156" s="4" t="n">
        <v>4</v>
      </c>
      <c r="D156" s="6" t="n">
        <v>42.8391063213348</v>
      </c>
      <c r="E156" s="18" t="s">
        <v>222</v>
      </c>
      <c r="F156" s="18" t="s">
        <v>738</v>
      </c>
      <c r="G156" s="4" t="s">
        <v>57</v>
      </c>
      <c r="H156" s="4" t="s">
        <v>1017</v>
      </c>
      <c r="I156" s="4"/>
    </row>
    <row r="157" customFormat="false" ht="15" hidden="false" customHeight="true" outlineLevel="0" collapsed="false">
      <c r="A157" s="4" t="s">
        <v>321</v>
      </c>
      <c r="B157" s="4" t="s">
        <v>230</v>
      </c>
      <c r="C157" s="4" t="n">
        <v>5</v>
      </c>
      <c r="D157" s="6" t="n">
        <v>59.4181063175201</v>
      </c>
      <c r="E157" s="18" t="s">
        <v>888</v>
      </c>
      <c r="F157" s="18" t="s">
        <v>547</v>
      </c>
      <c r="G157" s="4" t="s">
        <v>503</v>
      </c>
      <c r="H157" s="4" t="s">
        <v>1018</v>
      </c>
      <c r="I157" s="4"/>
    </row>
    <row r="158" customFormat="false" ht="15" hidden="false" customHeight="true" outlineLevel="0" collapsed="false">
      <c r="A158" s="4" t="s">
        <v>323</v>
      </c>
      <c r="B158" s="4" t="s">
        <v>230</v>
      </c>
      <c r="C158" s="4" t="n">
        <v>1</v>
      </c>
      <c r="D158" s="6" t="n">
        <v>10.2749536037445</v>
      </c>
      <c r="E158" s="18" t="s">
        <v>112</v>
      </c>
      <c r="F158" s="18" t="s">
        <v>325</v>
      </c>
      <c r="G158" s="4" t="s">
        <v>858</v>
      </c>
      <c r="H158" s="4" t="s">
        <v>1019</v>
      </c>
      <c r="I158" s="4"/>
    </row>
    <row r="159" customFormat="false" ht="15" hidden="false" customHeight="true" outlineLevel="0" collapsed="false">
      <c r="A159" s="4" t="s">
        <v>323</v>
      </c>
      <c r="B159" s="4" t="s">
        <v>230</v>
      </c>
      <c r="C159" s="4" t="n">
        <v>2</v>
      </c>
      <c r="D159" s="6" t="n">
        <v>37.0909535884857</v>
      </c>
      <c r="E159" s="18" t="s">
        <v>866</v>
      </c>
      <c r="F159" s="18" t="s">
        <v>746</v>
      </c>
      <c r="G159" s="4" t="s">
        <v>71</v>
      </c>
      <c r="H159" s="4" t="s">
        <v>1020</v>
      </c>
      <c r="I159" s="4"/>
    </row>
    <row r="160" customFormat="false" ht="15" hidden="false" customHeight="true" outlineLevel="0" collapsed="false">
      <c r="A160" s="4" t="s">
        <v>323</v>
      </c>
      <c r="B160" s="4" t="s">
        <v>230</v>
      </c>
      <c r="C160" s="4" t="n">
        <v>3</v>
      </c>
      <c r="D160" s="6" t="n">
        <v>47.8129534721375</v>
      </c>
      <c r="E160" s="18" t="s">
        <v>861</v>
      </c>
      <c r="F160" s="18" t="s">
        <v>516</v>
      </c>
      <c r="G160" s="4" t="s">
        <v>467</v>
      </c>
      <c r="H160" s="4" t="s">
        <v>1021</v>
      </c>
      <c r="I160" s="4"/>
    </row>
    <row r="161" customFormat="false" ht="15" hidden="false" customHeight="true" outlineLevel="0" collapsed="false">
      <c r="A161" s="4" t="s">
        <v>323</v>
      </c>
      <c r="B161" s="4" t="s">
        <v>230</v>
      </c>
      <c r="C161" s="4" t="n">
        <v>4</v>
      </c>
      <c r="D161" s="6" t="n">
        <v>56.0569534301758</v>
      </c>
      <c r="E161" s="18" t="s">
        <v>863</v>
      </c>
      <c r="F161" s="18" t="s">
        <v>470</v>
      </c>
      <c r="G161" s="4" t="s">
        <v>471</v>
      </c>
      <c r="H161" s="4" t="s">
        <v>1022</v>
      </c>
      <c r="I161" s="4"/>
    </row>
    <row r="162" customFormat="false" ht="15" hidden="false" customHeight="true" outlineLevel="0" collapsed="false">
      <c r="A162" s="4" t="s">
        <v>327</v>
      </c>
      <c r="B162" s="4" t="s">
        <v>230</v>
      </c>
      <c r="C162" s="4" t="n">
        <v>1</v>
      </c>
      <c r="D162" s="6" t="n">
        <v>19.5321724414825</v>
      </c>
      <c r="E162" s="18" t="s">
        <v>112</v>
      </c>
      <c r="F162" s="18" t="s">
        <v>749</v>
      </c>
      <c r="G162" s="4" t="s">
        <v>858</v>
      </c>
      <c r="H162" s="4" t="s">
        <v>1023</v>
      </c>
      <c r="I162" s="4"/>
    </row>
    <row r="163" customFormat="false" ht="15" hidden="false" customHeight="true" outlineLevel="0" collapsed="false">
      <c r="A163" s="4" t="s">
        <v>327</v>
      </c>
      <c r="B163" s="4" t="s">
        <v>230</v>
      </c>
      <c r="C163" s="4" t="n">
        <v>2</v>
      </c>
      <c r="D163" s="6" t="n">
        <v>34.2691724300384</v>
      </c>
      <c r="E163" s="18" t="s">
        <v>913</v>
      </c>
      <c r="F163" s="18" t="s">
        <v>750</v>
      </c>
      <c r="G163" s="4" t="s">
        <v>551</v>
      </c>
      <c r="H163" s="4" t="s">
        <v>1024</v>
      </c>
      <c r="I163" s="4"/>
    </row>
    <row r="164" customFormat="false" ht="15" hidden="false" customHeight="true" outlineLevel="0" collapsed="false">
      <c r="A164" s="4" t="s">
        <v>330</v>
      </c>
      <c r="B164" s="4" t="s">
        <v>230</v>
      </c>
      <c r="C164" s="4" t="n">
        <v>1</v>
      </c>
      <c r="D164" s="6" t="n">
        <v>17.9272804260254</v>
      </c>
      <c r="E164" s="18" t="s">
        <v>102</v>
      </c>
      <c r="F164" s="18" t="s">
        <v>516</v>
      </c>
      <c r="G164" s="4" t="s">
        <v>858</v>
      </c>
      <c r="H164" s="4" t="s">
        <v>1025</v>
      </c>
      <c r="I164" s="4"/>
    </row>
    <row r="165" customFormat="false" ht="15" hidden="false" customHeight="true" outlineLevel="0" collapsed="false">
      <c r="A165" s="4" t="s">
        <v>330</v>
      </c>
      <c r="B165" s="4" t="s">
        <v>230</v>
      </c>
      <c r="C165" s="4" t="n">
        <v>2</v>
      </c>
      <c r="D165" s="6" t="n">
        <v>31.3552803993225</v>
      </c>
      <c r="E165" s="18" t="s">
        <v>222</v>
      </c>
      <c r="F165" s="18" t="s">
        <v>86</v>
      </c>
      <c r="G165" s="4" t="s">
        <v>57</v>
      </c>
      <c r="H165" s="4" t="s">
        <v>1026</v>
      </c>
      <c r="I165" s="4"/>
    </row>
    <row r="166" customFormat="false" ht="15" hidden="false" customHeight="true" outlineLevel="0" collapsed="false">
      <c r="A166" s="4" t="s">
        <v>330</v>
      </c>
      <c r="B166" s="4" t="s">
        <v>230</v>
      </c>
      <c r="C166" s="4" t="n">
        <v>3</v>
      </c>
      <c r="D166" s="6" t="n">
        <v>38.75728058815</v>
      </c>
      <c r="E166" s="18" t="s">
        <v>861</v>
      </c>
      <c r="F166" s="18" t="s">
        <v>751</v>
      </c>
      <c r="G166" s="4" t="s">
        <v>467</v>
      </c>
      <c r="H166" s="4" t="s">
        <v>1027</v>
      </c>
      <c r="I166" s="4"/>
    </row>
    <row r="167" customFormat="false" ht="15" hidden="false" customHeight="true" outlineLevel="0" collapsed="false">
      <c r="A167" s="4" t="s">
        <v>330</v>
      </c>
      <c r="B167" s="4" t="s">
        <v>230</v>
      </c>
      <c r="C167" s="4" t="n">
        <v>4</v>
      </c>
      <c r="D167" s="6" t="n">
        <v>46.2492804527283</v>
      </c>
      <c r="E167" s="18" t="s">
        <v>863</v>
      </c>
      <c r="F167" s="18" t="s">
        <v>586</v>
      </c>
      <c r="G167" s="4" t="s">
        <v>471</v>
      </c>
      <c r="H167" s="4" t="s">
        <v>1028</v>
      </c>
      <c r="I167" s="4"/>
    </row>
    <row r="168" customFormat="false" ht="15" hidden="false" customHeight="true" outlineLevel="0" collapsed="false">
      <c r="A168" s="4" t="s">
        <v>334</v>
      </c>
      <c r="B168" s="4" t="s">
        <v>230</v>
      </c>
      <c r="C168" s="4" t="n">
        <v>1</v>
      </c>
      <c r="D168" s="6" t="n">
        <v>12.2885203361511</v>
      </c>
      <c r="E168" s="18" t="s">
        <v>157</v>
      </c>
      <c r="F168" s="18" t="s">
        <v>754</v>
      </c>
      <c r="G168" s="4" t="s">
        <v>553</v>
      </c>
      <c r="H168" s="4" t="s">
        <v>1029</v>
      </c>
      <c r="I168" s="4"/>
    </row>
    <row r="169" customFormat="false" ht="15" hidden="false" customHeight="true" outlineLevel="0" collapsed="false">
      <c r="A169" s="4" t="s">
        <v>334</v>
      </c>
      <c r="B169" s="4" t="s">
        <v>230</v>
      </c>
      <c r="C169" s="4" t="n">
        <v>2</v>
      </c>
      <c r="D169" s="6" t="n">
        <v>16.6883385181427</v>
      </c>
      <c r="E169" s="18" t="s">
        <v>863</v>
      </c>
      <c r="F169" s="18" t="s">
        <v>754</v>
      </c>
      <c r="G169" s="4" t="s">
        <v>471</v>
      </c>
      <c r="H169" s="4" t="s">
        <v>1030</v>
      </c>
      <c r="I169" s="4"/>
    </row>
    <row r="170" customFormat="false" ht="15" hidden="false" customHeight="true" outlineLevel="0" collapsed="false">
      <c r="A170" s="4" t="s">
        <v>334</v>
      </c>
      <c r="B170" s="4" t="s">
        <v>230</v>
      </c>
      <c r="C170" s="4" t="n">
        <v>3</v>
      </c>
      <c r="D170" s="6" t="n">
        <v>31.0098738670349</v>
      </c>
      <c r="E170" s="18" t="s">
        <v>1031</v>
      </c>
      <c r="F170" s="18" t="s">
        <v>755</v>
      </c>
      <c r="G170" s="4" t="s">
        <v>71</v>
      </c>
      <c r="H170" s="4" t="s">
        <v>1032</v>
      </c>
      <c r="I170" s="4"/>
    </row>
    <row r="171" customFormat="false" ht="15" hidden="false" customHeight="true" outlineLevel="0" collapsed="false">
      <c r="A171" s="4" t="s">
        <v>334</v>
      </c>
      <c r="B171" s="4" t="s">
        <v>230</v>
      </c>
      <c r="C171" s="4" t="n">
        <v>4</v>
      </c>
      <c r="D171" s="6" t="n">
        <v>39.6893146038055</v>
      </c>
      <c r="E171" s="18" t="s">
        <v>161</v>
      </c>
      <c r="F171" s="18" t="s">
        <v>756</v>
      </c>
      <c r="G171" s="4" t="s">
        <v>552</v>
      </c>
      <c r="H171" s="4" t="s">
        <v>1033</v>
      </c>
      <c r="I171" s="4"/>
    </row>
    <row r="172" customFormat="false" ht="15" hidden="false" customHeight="true" outlineLevel="0" collapsed="false">
      <c r="A172" s="4" t="s">
        <v>334</v>
      </c>
      <c r="B172" s="4" t="s">
        <v>230</v>
      </c>
      <c r="C172" s="4" t="n">
        <v>5</v>
      </c>
      <c r="D172" s="6" t="n">
        <v>45.9898166656494</v>
      </c>
      <c r="E172" s="18" t="s">
        <v>863</v>
      </c>
      <c r="F172" s="18" t="s">
        <v>757</v>
      </c>
      <c r="G172" s="4" t="s">
        <v>471</v>
      </c>
      <c r="H172" s="4" t="s">
        <v>1034</v>
      </c>
      <c r="I172" s="4"/>
    </row>
    <row r="173" customFormat="false" ht="15" hidden="false" customHeight="true" outlineLevel="0" collapsed="false">
      <c r="A173" s="4" t="s">
        <v>343</v>
      </c>
      <c r="B173" s="4" t="s">
        <v>230</v>
      </c>
      <c r="C173" s="4" t="n">
        <v>1</v>
      </c>
      <c r="D173" s="6" t="n">
        <v>5.96369671821594</v>
      </c>
      <c r="E173" s="18" t="s">
        <v>102</v>
      </c>
      <c r="F173" s="18" t="s">
        <v>344</v>
      </c>
      <c r="G173" s="4" t="s">
        <v>858</v>
      </c>
      <c r="H173" s="4" t="s">
        <v>1035</v>
      </c>
      <c r="I173" s="4"/>
    </row>
    <row r="174" customFormat="false" ht="15" hidden="false" customHeight="true" outlineLevel="0" collapsed="false">
      <c r="A174" s="4" t="s">
        <v>343</v>
      </c>
      <c r="B174" s="4" t="s">
        <v>230</v>
      </c>
      <c r="C174" s="4" t="n">
        <v>2</v>
      </c>
      <c r="D174" s="6" t="n">
        <v>17.5206968784332</v>
      </c>
      <c r="E174" s="18" t="s">
        <v>866</v>
      </c>
      <c r="F174" s="18" t="s">
        <v>481</v>
      </c>
      <c r="G174" s="4" t="s">
        <v>71</v>
      </c>
      <c r="H174" s="4" t="s">
        <v>1036</v>
      </c>
      <c r="I174" s="4"/>
    </row>
    <row r="175" customFormat="false" ht="15" hidden="false" customHeight="true" outlineLevel="0" collapsed="false">
      <c r="A175" s="4" t="s">
        <v>343</v>
      </c>
      <c r="B175" s="4" t="s">
        <v>230</v>
      </c>
      <c r="C175" s="4" t="n">
        <v>3</v>
      </c>
      <c r="D175" s="6" t="n">
        <v>33.117696762085</v>
      </c>
      <c r="E175" s="18" t="s">
        <v>888</v>
      </c>
      <c r="F175" s="18" t="s">
        <v>760</v>
      </c>
      <c r="G175" s="4" t="s">
        <v>503</v>
      </c>
      <c r="H175" s="4" t="s">
        <v>1037</v>
      </c>
      <c r="I175" s="4"/>
    </row>
    <row r="176" customFormat="false" ht="15" hidden="false" customHeight="true" outlineLevel="0" collapsed="false">
      <c r="A176" s="4" t="s">
        <v>346</v>
      </c>
      <c r="B176" s="4" t="s">
        <v>230</v>
      </c>
      <c r="C176" s="4" t="n">
        <v>1</v>
      </c>
      <c r="D176" s="6" t="n">
        <v>5.73660802841187</v>
      </c>
      <c r="E176" s="18" t="s">
        <v>209</v>
      </c>
      <c r="F176" s="18" t="s">
        <v>347</v>
      </c>
      <c r="G176" s="4" t="s">
        <v>858</v>
      </c>
      <c r="H176" s="4" t="s">
        <v>1038</v>
      </c>
      <c r="I176" s="4"/>
    </row>
    <row r="177" customFormat="false" ht="15" hidden="false" customHeight="true" outlineLevel="0" collapsed="false">
      <c r="A177" s="4" t="s">
        <v>346</v>
      </c>
      <c r="B177" s="4" t="s">
        <v>230</v>
      </c>
      <c r="C177" s="4" t="n">
        <v>2</v>
      </c>
      <c r="D177" s="6" t="n">
        <v>20.068608045578</v>
      </c>
      <c r="E177" s="18" t="s">
        <v>866</v>
      </c>
      <c r="F177" s="18" t="s">
        <v>712</v>
      </c>
      <c r="G177" s="4" t="s">
        <v>71</v>
      </c>
      <c r="H177" s="4" t="s">
        <v>1039</v>
      </c>
      <c r="I177" s="4"/>
    </row>
    <row r="178" customFormat="false" ht="15" hidden="false" customHeight="true" outlineLevel="0" collapsed="false">
      <c r="A178" s="4" t="s">
        <v>346</v>
      </c>
      <c r="B178" s="4" t="s">
        <v>230</v>
      </c>
      <c r="C178" s="4" t="n">
        <v>3</v>
      </c>
      <c r="D178" s="6" t="n">
        <v>35.3326079845428</v>
      </c>
      <c r="E178" s="18" t="s">
        <v>222</v>
      </c>
      <c r="F178" s="18" t="s">
        <v>764</v>
      </c>
      <c r="G178" s="4" t="s">
        <v>57</v>
      </c>
      <c r="H178" s="4" t="s">
        <v>1040</v>
      </c>
      <c r="I178" s="4"/>
    </row>
    <row r="179" customFormat="false" ht="15" hidden="false" customHeight="true" outlineLevel="0" collapsed="false">
      <c r="A179" s="4" t="s">
        <v>346</v>
      </c>
      <c r="B179" s="4" t="s">
        <v>230</v>
      </c>
      <c r="C179" s="4" t="n">
        <v>4</v>
      </c>
      <c r="D179" s="6" t="n">
        <v>54.5296080112457</v>
      </c>
      <c r="E179" s="18" t="s">
        <v>888</v>
      </c>
      <c r="F179" s="18" t="s">
        <v>547</v>
      </c>
      <c r="G179" s="4" t="s">
        <v>503</v>
      </c>
      <c r="H179" s="4" t="s">
        <v>1041</v>
      </c>
      <c r="I179" s="4"/>
    </row>
    <row r="180" customFormat="false" ht="15" hidden="false" customHeight="true" outlineLevel="0" collapsed="false">
      <c r="A180" s="4" t="s">
        <v>350</v>
      </c>
      <c r="B180" s="4" t="s">
        <v>230</v>
      </c>
      <c r="C180" s="4" t="n">
        <v>1</v>
      </c>
      <c r="D180" s="6" t="n">
        <v>19.7069411277771</v>
      </c>
      <c r="E180" s="18" t="s">
        <v>73</v>
      </c>
      <c r="F180" s="18" t="s">
        <v>769</v>
      </c>
      <c r="G180" s="4" t="s">
        <v>858</v>
      </c>
      <c r="H180" s="4" t="s">
        <v>1042</v>
      </c>
      <c r="I180" s="4"/>
    </row>
    <row r="181" customFormat="false" ht="15" hidden="false" customHeight="true" outlineLevel="0" collapsed="false">
      <c r="A181" s="4" t="s">
        <v>350</v>
      </c>
      <c r="B181" s="4" t="s">
        <v>230</v>
      </c>
      <c r="C181" s="4" t="n">
        <v>2</v>
      </c>
      <c r="D181" s="6" t="n">
        <v>31.887941122055</v>
      </c>
      <c r="E181" s="18" t="s">
        <v>222</v>
      </c>
      <c r="F181" s="18" t="s">
        <v>86</v>
      </c>
      <c r="G181" s="4" t="s">
        <v>57</v>
      </c>
      <c r="H181" s="4" t="s">
        <v>1043</v>
      </c>
      <c r="I181" s="4"/>
    </row>
    <row r="182" customFormat="false" ht="15" hidden="false" customHeight="true" outlineLevel="0" collapsed="false">
      <c r="A182" s="4" t="s">
        <v>350</v>
      </c>
      <c r="B182" s="4" t="s">
        <v>230</v>
      </c>
      <c r="C182" s="4" t="n">
        <v>3</v>
      </c>
      <c r="D182" s="6" t="n">
        <v>51.7989411354065</v>
      </c>
      <c r="E182" s="18" t="s">
        <v>888</v>
      </c>
      <c r="F182" s="18" t="s">
        <v>773</v>
      </c>
      <c r="G182" s="4" t="s">
        <v>503</v>
      </c>
      <c r="H182" s="4" t="s">
        <v>1044</v>
      </c>
      <c r="I182" s="4"/>
    </row>
    <row r="183" customFormat="false" ht="15" hidden="false" customHeight="true" outlineLevel="0" collapsed="false">
      <c r="A183" s="4" t="s">
        <v>355</v>
      </c>
      <c r="B183" s="4" t="s">
        <v>230</v>
      </c>
      <c r="C183" s="4" t="n">
        <v>1</v>
      </c>
      <c r="D183" s="6" t="n">
        <v>17.6023323535919</v>
      </c>
      <c r="E183" s="18" t="s">
        <v>241</v>
      </c>
      <c r="F183" s="18" t="s">
        <v>516</v>
      </c>
      <c r="G183" s="4" t="s">
        <v>858</v>
      </c>
      <c r="H183" s="4" t="s">
        <v>1045</v>
      </c>
      <c r="I183" s="4"/>
    </row>
    <row r="184" customFormat="false" ht="15" hidden="false" customHeight="true" outlineLevel="0" collapsed="false">
      <c r="A184" s="4" t="s">
        <v>355</v>
      </c>
      <c r="B184" s="4" t="s">
        <v>230</v>
      </c>
      <c r="C184" s="4" t="n">
        <v>2</v>
      </c>
      <c r="D184" s="6" t="n">
        <v>30.8113324642181</v>
      </c>
      <c r="E184" s="18" t="s">
        <v>863</v>
      </c>
      <c r="F184" s="18" t="s">
        <v>496</v>
      </c>
      <c r="G184" s="4" t="s">
        <v>471</v>
      </c>
      <c r="H184" s="4" t="s">
        <v>1046</v>
      </c>
      <c r="I184" s="4"/>
    </row>
    <row r="185" customFormat="false" ht="15" hidden="false" customHeight="true" outlineLevel="0" collapsed="false">
      <c r="A185" s="4" t="s">
        <v>355</v>
      </c>
      <c r="B185" s="4" t="s">
        <v>230</v>
      </c>
      <c r="C185" s="4" t="n">
        <v>3</v>
      </c>
      <c r="D185" s="6" t="n">
        <v>48.9203324317932</v>
      </c>
      <c r="E185" s="18" t="s">
        <v>866</v>
      </c>
      <c r="F185" s="18" t="s">
        <v>775</v>
      </c>
      <c r="G185" s="4" t="s">
        <v>71</v>
      </c>
      <c r="H185" s="4" t="s">
        <v>1047</v>
      </c>
      <c r="I185" s="4"/>
    </row>
    <row r="186" customFormat="false" ht="15" hidden="false" customHeight="true" outlineLevel="0" collapsed="false">
      <c r="A186" s="4" t="s">
        <v>355</v>
      </c>
      <c r="B186" s="4" t="s">
        <v>230</v>
      </c>
      <c r="C186" s="4" t="n">
        <v>4</v>
      </c>
      <c r="D186" s="6" t="n">
        <v>64.4093325138092</v>
      </c>
      <c r="E186" s="18" t="s">
        <v>1048</v>
      </c>
      <c r="F186" s="18" t="s">
        <v>777</v>
      </c>
      <c r="G186" s="4" t="s">
        <v>57</v>
      </c>
      <c r="H186" s="4" t="s">
        <v>1049</v>
      </c>
      <c r="I186" s="4"/>
    </row>
    <row r="187" customFormat="false" ht="15" hidden="false" customHeight="true" outlineLevel="0" collapsed="false">
      <c r="A187" s="4" t="s">
        <v>355</v>
      </c>
      <c r="B187" s="4" t="s">
        <v>230</v>
      </c>
      <c r="C187" s="4" t="n">
        <v>5</v>
      </c>
      <c r="D187" s="6" t="n">
        <v>79.0153324604034</v>
      </c>
      <c r="E187" s="18" t="s">
        <v>863</v>
      </c>
      <c r="F187" s="18" t="s">
        <v>516</v>
      </c>
      <c r="G187" s="4" t="s">
        <v>471</v>
      </c>
      <c r="H187" s="4" t="s">
        <v>1050</v>
      </c>
      <c r="I187" s="4"/>
    </row>
    <row r="188" customFormat="false" ht="15" hidden="false" customHeight="true" outlineLevel="0" collapsed="false">
      <c r="A188" s="4" t="s">
        <v>359</v>
      </c>
      <c r="B188" s="4" t="s">
        <v>230</v>
      </c>
      <c r="C188" s="4" t="n">
        <v>1</v>
      </c>
      <c r="D188" s="6" t="n">
        <v>23.6287820339203</v>
      </c>
      <c r="E188" s="18" t="s">
        <v>73</v>
      </c>
      <c r="F188" s="18" t="s">
        <v>516</v>
      </c>
      <c r="G188" s="4" t="s">
        <v>858</v>
      </c>
      <c r="H188" s="4" t="s">
        <v>1051</v>
      </c>
      <c r="I188" s="4"/>
    </row>
    <row r="189" customFormat="false" ht="15" hidden="false" customHeight="true" outlineLevel="0" collapsed="false">
      <c r="A189" s="4" t="s">
        <v>359</v>
      </c>
      <c r="B189" s="4" t="s">
        <v>230</v>
      </c>
      <c r="C189" s="4" t="n">
        <v>2</v>
      </c>
      <c r="D189" s="6" t="n">
        <v>35.6907820701599</v>
      </c>
      <c r="E189" s="18" t="s">
        <v>863</v>
      </c>
      <c r="F189" s="18" t="s">
        <v>496</v>
      </c>
      <c r="G189" s="4" t="s">
        <v>471</v>
      </c>
      <c r="H189" s="4" t="s">
        <v>1052</v>
      </c>
      <c r="I189" s="4"/>
    </row>
    <row r="190" customFormat="false" ht="15" hidden="false" customHeight="true" outlineLevel="0" collapsed="false">
      <c r="A190" s="4" t="s">
        <v>359</v>
      </c>
      <c r="B190" s="4" t="s">
        <v>230</v>
      </c>
      <c r="C190" s="4" t="n">
        <v>3</v>
      </c>
      <c r="D190" s="6" t="n">
        <v>43.4597818851471</v>
      </c>
      <c r="E190" s="18" t="s">
        <v>861</v>
      </c>
      <c r="F190" s="18" t="s">
        <v>780</v>
      </c>
      <c r="G190" s="4" t="s">
        <v>467</v>
      </c>
      <c r="H190" s="4" t="s">
        <v>1053</v>
      </c>
      <c r="I190" s="4"/>
    </row>
    <row r="191" customFormat="false" ht="15" hidden="false" customHeight="true" outlineLevel="0" collapsed="false">
      <c r="A191" s="4" t="s">
        <v>363</v>
      </c>
      <c r="B191" s="4" t="s">
        <v>230</v>
      </c>
      <c r="C191" s="4" t="n">
        <v>1</v>
      </c>
      <c r="D191" s="6" t="n">
        <v>18.9998824596405</v>
      </c>
      <c r="E191" s="18" t="s">
        <v>157</v>
      </c>
      <c r="F191" s="18" t="s">
        <v>783</v>
      </c>
      <c r="G191" s="4" t="s">
        <v>553</v>
      </c>
      <c r="H191" s="4" t="s">
        <v>1054</v>
      </c>
      <c r="I191" s="4"/>
    </row>
    <row r="192" customFormat="false" ht="15" hidden="false" customHeight="true" outlineLevel="0" collapsed="false">
      <c r="A192" s="4" t="s">
        <v>363</v>
      </c>
      <c r="B192" s="4" t="s">
        <v>230</v>
      </c>
      <c r="C192" s="4" t="n">
        <v>2</v>
      </c>
      <c r="D192" s="6" t="n">
        <v>27.8979434967041</v>
      </c>
      <c r="E192" s="18" t="s">
        <v>161</v>
      </c>
      <c r="F192" s="18" t="s">
        <v>784</v>
      </c>
      <c r="G192" s="4" t="s">
        <v>552</v>
      </c>
      <c r="H192" s="4" t="s">
        <v>1055</v>
      </c>
      <c r="I192" s="4"/>
    </row>
    <row r="193" customFormat="false" ht="15" hidden="false" customHeight="true" outlineLevel="0" collapsed="false">
      <c r="A193" s="4" t="s">
        <v>363</v>
      </c>
      <c r="B193" s="4" t="s">
        <v>230</v>
      </c>
      <c r="C193" s="4" t="n">
        <v>3</v>
      </c>
      <c r="D193" s="6" t="n">
        <v>40.5978236198425</v>
      </c>
      <c r="E193" s="18" t="s">
        <v>1056</v>
      </c>
      <c r="F193" s="18" t="s">
        <v>786</v>
      </c>
      <c r="G193" s="4" t="s">
        <v>57</v>
      </c>
      <c r="H193" s="4" t="s">
        <v>1057</v>
      </c>
      <c r="I193" s="4"/>
    </row>
    <row r="194" customFormat="false" ht="15" hidden="false" customHeight="true" outlineLevel="0" collapsed="false">
      <c r="A194" s="4" t="s">
        <v>363</v>
      </c>
      <c r="B194" s="4" t="s">
        <v>230</v>
      </c>
      <c r="C194" s="4" t="n">
        <v>4</v>
      </c>
      <c r="D194" s="6" t="n">
        <v>57.1290321350098</v>
      </c>
      <c r="E194" s="18" t="s">
        <v>861</v>
      </c>
      <c r="F194" s="18" t="s">
        <v>787</v>
      </c>
      <c r="G194" s="4" t="s">
        <v>467</v>
      </c>
      <c r="H194" s="4" t="s">
        <v>1058</v>
      </c>
      <c r="I194" s="4"/>
    </row>
    <row r="195" customFormat="false" ht="15" hidden="false" customHeight="true" outlineLevel="0" collapsed="false">
      <c r="A195" s="4" t="s">
        <v>363</v>
      </c>
      <c r="B195" s="4" t="s">
        <v>230</v>
      </c>
      <c r="C195" s="4" t="n">
        <v>5</v>
      </c>
      <c r="D195" s="6" t="n">
        <v>62.0980896949768</v>
      </c>
      <c r="E195" s="18" t="s">
        <v>863</v>
      </c>
      <c r="F195" s="18" t="s">
        <v>789</v>
      </c>
      <c r="G195" s="4" t="s">
        <v>471</v>
      </c>
      <c r="H195" s="4" t="s">
        <v>1059</v>
      </c>
      <c r="I195" s="4"/>
    </row>
    <row r="196" customFormat="false" ht="15" hidden="false" customHeight="true" outlineLevel="0" collapsed="false">
      <c r="A196" s="4" t="s">
        <v>363</v>
      </c>
      <c r="B196" s="4" t="s">
        <v>230</v>
      </c>
      <c r="C196" s="4" t="n">
        <v>6</v>
      </c>
      <c r="D196" s="6" t="n">
        <v>67.8165321350098</v>
      </c>
      <c r="E196" s="18" t="s">
        <v>902</v>
      </c>
      <c r="F196" s="18" t="s">
        <v>790</v>
      </c>
      <c r="G196" s="4" t="s">
        <v>523</v>
      </c>
      <c r="H196" s="4" t="s">
        <v>1060</v>
      </c>
      <c r="I196" s="4"/>
    </row>
    <row r="197" customFormat="false" ht="15" hidden="false" customHeight="true" outlineLevel="0" collapsed="false">
      <c r="A197" s="4" t="s">
        <v>373</v>
      </c>
      <c r="B197" s="4" t="s">
        <v>230</v>
      </c>
      <c r="C197" s="4" t="n">
        <v>1</v>
      </c>
      <c r="D197" s="6" t="n">
        <v>5.63972473144531</v>
      </c>
      <c r="E197" s="18" t="s">
        <v>377</v>
      </c>
      <c r="F197" s="18" t="s">
        <v>374</v>
      </c>
      <c r="G197" s="4" t="s">
        <v>858</v>
      </c>
      <c r="H197" s="4" t="s">
        <v>1061</v>
      </c>
      <c r="I197" s="4"/>
    </row>
    <row r="198" customFormat="false" ht="15" hidden="false" customHeight="true" outlineLevel="0" collapsed="false">
      <c r="A198" s="4" t="s">
        <v>373</v>
      </c>
      <c r="B198" s="4" t="s">
        <v>230</v>
      </c>
      <c r="C198" s="4" t="n">
        <v>2</v>
      </c>
      <c r="D198" s="6" t="n">
        <v>19.0657248497009</v>
      </c>
      <c r="E198" s="18" t="s">
        <v>222</v>
      </c>
      <c r="F198" s="18" t="s">
        <v>86</v>
      </c>
      <c r="G198" s="4" t="s">
        <v>57</v>
      </c>
      <c r="H198" s="4" t="s">
        <v>1062</v>
      </c>
      <c r="I198" s="4"/>
    </row>
    <row r="199" customFormat="false" ht="15" hidden="false" customHeight="true" outlineLevel="0" collapsed="false">
      <c r="A199" s="4" t="s">
        <v>373</v>
      </c>
      <c r="B199" s="4" t="s">
        <v>230</v>
      </c>
      <c r="C199" s="4" t="n">
        <v>3</v>
      </c>
      <c r="D199" s="6" t="n">
        <v>32.5037248134613</v>
      </c>
      <c r="E199" s="18" t="s">
        <v>861</v>
      </c>
      <c r="F199" s="18" t="s">
        <v>466</v>
      </c>
      <c r="G199" s="4" t="s">
        <v>467</v>
      </c>
      <c r="H199" s="4" t="s">
        <v>1063</v>
      </c>
      <c r="I199" s="4"/>
    </row>
    <row r="200" customFormat="false" ht="15" hidden="false" customHeight="true" outlineLevel="0" collapsed="false">
      <c r="A200" s="4" t="s">
        <v>373</v>
      </c>
      <c r="B200" s="4" t="s">
        <v>230</v>
      </c>
      <c r="C200" s="4" t="n">
        <v>4</v>
      </c>
      <c r="D200" s="6" t="n">
        <v>61.3997032642365</v>
      </c>
      <c r="E200" s="18" t="s">
        <v>863</v>
      </c>
      <c r="F200" s="18" t="s">
        <v>800</v>
      </c>
      <c r="G200" s="4" t="s">
        <v>471</v>
      </c>
      <c r="H200" s="4" t="s">
        <v>1064</v>
      </c>
      <c r="I200" s="4"/>
    </row>
    <row r="201" customFormat="false" ht="15" hidden="false" customHeight="true" outlineLevel="0" collapsed="false">
      <c r="A201" s="4" t="s">
        <v>387</v>
      </c>
      <c r="B201" s="4" t="s">
        <v>380</v>
      </c>
      <c r="C201" s="4" t="n">
        <v>1</v>
      </c>
      <c r="D201" s="6" t="n">
        <v>113.02077627182</v>
      </c>
      <c r="E201" s="18" t="s">
        <v>388</v>
      </c>
      <c r="F201" s="18" t="s">
        <v>820</v>
      </c>
      <c r="G201" s="4" t="s">
        <v>858</v>
      </c>
      <c r="H201" s="4" t="s">
        <v>1065</v>
      </c>
      <c r="I201" s="4"/>
    </row>
    <row r="202" customFormat="false" ht="15" hidden="false" customHeight="true" outlineLevel="0" collapsed="false">
      <c r="A202" s="4" t="s">
        <v>387</v>
      </c>
      <c r="B202" s="4" t="s">
        <v>380</v>
      </c>
      <c r="C202" s="4" t="n">
        <v>2</v>
      </c>
      <c r="D202" s="6" t="n">
        <v>127.045776128769</v>
      </c>
      <c r="E202" s="18" t="s">
        <v>913</v>
      </c>
      <c r="F202" s="18" t="s">
        <v>822</v>
      </c>
      <c r="G202" s="4" t="s">
        <v>551</v>
      </c>
      <c r="H202" s="4" t="s">
        <v>1066</v>
      </c>
      <c r="I202" s="4"/>
    </row>
    <row r="203" customFormat="false" ht="15" hidden="false" customHeight="true" outlineLevel="0" collapsed="false">
      <c r="A203" s="4" t="s">
        <v>390</v>
      </c>
      <c r="B203" s="4" t="s">
        <v>380</v>
      </c>
      <c r="C203" s="4" t="n">
        <v>1</v>
      </c>
      <c r="D203" s="6" t="n">
        <v>12.4210071563721</v>
      </c>
      <c r="E203" s="18" t="s">
        <v>393</v>
      </c>
      <c r="F203" s="18" t="s">
        <v>1067</v>
      </c>
      <c r="G203" s="4" t="s">
        <v>858</v>
      </c>
      <c r="H203" s="4" t="s">
        <v>1068</v>
      </c>
      <c r="I203" s="4"/>
    </row>
    <row r="204" customFormat="false" ht="15" hidden="false" customHeight="true" outlineLevel="0" collapsed="false">
      <c r="A204" s="4" t="s">
        <v>390</v>
      </c>
      <c r="B204" s="4" t="s">
        <v>380</v>
      </c>
      <c r="C204" s="4" t="n">
        <v>2</v>
      </c>
      <c r="D204" s="6" t="n">
        <v>28.8070073127747</v>
      </c>
      <c r="E204" s="18" t="s">
        <v>913</v>
      </c>
      <c r="F204" s="18" t="s">
        <v>826</v>
      </c>
      <c r="G204" s="4" t="s">
        <v>551</v>
      </c>
      <c r="H204" s="4" t="s">
        <v>1069</v>
      </c>
      <c r="I204" s="4"/>
    </row>
    <row r="205" customFormat="false" ht="15" hidden="false" customHeight="true" outlineLevel="0" collapsed="false">
      <c r="A205" s="4" t="s">
        <v>395</v>
      </c>
      <c r="B205" s="4" t="s">
        <v>380</v>
      </c>
      <c r="C205" s="4" t="n">
        <v>1</v>
      </c>
      <c r="D205" s="6" t="n">
        <v>36.181088924408</v>
      </c>
      <c r="E205" s="18" t="s">
        <v>73</v>
      </c>
      <c r="F205" s="18" t="s">
        <v>516</v>
      </c>
      <c r="G205" s="4" t="s">
        <v>858</v>
      </c>
      <c r="H205" s="4" t="s">
        <v>1070</v>
      </c>
      <c r="I205" s="4"/>
    </row>
    <row r="206" customFormat="false" ht="15" hidden="false" customHeight="true" outlineLevel="0" collapsed="false">
      <c r="A206" s="4" t="s">
        <v>395</v>
      </c>
      <c r="B206" s="4" t="s">
        <v>380</v>
      </c>
      <c r="C206" s="4" t="n">
        <v>2</v>
      </c>
      <c r="D206" s="6" t="n">
        <v>50.806088924408</v>
      </c>
      <c r="E206" s="18" t="s">
        <v>866</v>
      </c>
      <c r="F206" s="18" t="s">
        <v>481</v>
      </c>
      <c r="G206" s="4" t="s">
        <v>71</v>
      </c>
      <c r="H206" s="4" t="s">
        <v>1071</v>
      </c>
      <c r="I206" s="4"/>
    </row>
    <row r="207" customFormat="false" ht="15" hidden="false" customHeight="true" outlineLevel="0" collapsed="false">
      <c r="A207" s="4" t="s">
        <v>395</v>
      </c>
      <c r="B207" s="4" t="s">
        <v>380</v>
      </c>
      <c r="C207" s="4" t="n">
        <v>3</v>
      </c>
      <c r="D207" s="6" t="n">
        <v>70.393089056015</v>
      </c>
      <c r="E207" s="18" t="s">
        <v>861</v>
      </c>
      <c r="F207" s="18" t="s">
        <v>831</v>
      </c>
      <c r="G207" s="4" t="s">
        <v>467</v>
      </c>
      <c r="H207" s="4" t="s">
        <v>1072</v>
      </c>
      <c r="I207" s="4"/>
    </row>
    <row r="208" customFormat="false" ht="15" hidden="false" customHeight="true" outlineLevel="0" collapsed="false">
      <c r="A208" s="4" t="s">
        <v>395</v>
      </c>
      <c r="B208" s="4" t="s">
        <v>380</v>
      </c>
      <c r="C208" s="4" t="n">
        <v>4</v>
      </c>
      <c r="D208" s="6" t="n">
        <v>81.9400889873505</v>
      </c>
      <c r="E208" s="18" t="s">
        <v>863</v>
      </c>
      <c r="F208" s="18" t="s">
        <v>516</v>
      </c>
      <c r="G208" s="4" t="s">
        <v>471</v>
      </c>
      <c r="H208" s="4" t="s">
        <v>1073</v>
      </c>
      <c r="I208" s="4"/>
    </row>
    <row r="209" customFormat="false" ht="15" hidden="false" customHeight="true" outlineLevel="0" collapsed="false">
      <c r="A209" s="4" t="s">
        <v>398</v>
      </c>
      <c r="B209" s="4" t="s">
        <v>380</v>
      </c>
      <c r="C209" s="4" t="n">
        <v>1</v>
      </c>
      <c r="D209" s="6" t="n">
        <v>13.9402561187744</v>
      </c>
      <c r="E209" s="18" t="s">
        <v>112</v>
      </c>
      <c r="F209" s="18" t="s">
        <v>146</v>
      </c>
      <c r="G209" s="4" t="s">
        <v>858</v>
      </c>
      <c r="H209" s="4" t="s">
        <v>1074</v>
      </c>
      <c r="I209" s="4"/>
    </row>
    <row r="210" customFormat="false" ht="15" hidden="false" customHeight="true" outlineLevel="0" collapsed="false">
      <c r="A210" s="4" t="s">
        <v>398</v>
      </c>
      <c r="B210" s="4" t="s">
        <v>380</v>
      </c>
      <c r="C210" s="4" t="n">
        <v>2</v>
      </c>
      <c r="D210" s="6" t="n">
        <v>26.4062561988831</v>
      </c>
      <c r="E210" s="18" t="s">
        <v>866</v>
      </c>
      <c r="F210" s="18" t="s">
        <v>481</v>
      </c>
      <c r="G210" s="4" t="s">
        <v>71</v>
      </c>
      <c r="H210" s="4" t="s">
        <v>1075</v>
      </c>
      <c r="I210" s="4"/>
    </row>
    <row r="211" customFormat="false" ht="15" hidden="false" customHeight="true" outlineLevel="0" collapsed="false">
      <c r="A211" s="4" t="s">
        <v>398</v>
      </c>
      <c r="B211" s="4" t="s">
        <v>380</v>
      </c>
      <c r="C211" s="4" t="n">
        <v>3</v>
      </c>
      <c r="D211" s="6" t="n">
        <v>40.7732560634613</v>
      </c>
      <c r="E211" s="18" t="s">
        <v>861</v>
      </c>
      <c r="F211" s="18" t="s">
        <v>516</v>
      </c>
      <c r="G211" s="4" t="s">
        <v>467</v>
      </c>
      <c r="H211" s="4" t="s">
        <v>1076</v>
      </c>
      <c r="I211" s="4"/>
    </row>
    <row r="212" customFormat="false" ht="15" hidden="false" customHeight="true" outlineLevel="0" collapsed="false">
      <c r="A212" s="4" t="s">
        <v>398</v>
      </c>
      <c r="B212" s="4" t="s">
        <v>380</v>
      </c>
      <c r="C212" s="4" t="n">
        <v>4</v>
      </c>
      <c r="D212" s="6" t="n">
        <v>47.9662561416626</v>
      </c>
      <c r="E212" s="18" t="s">
        <v>863</v>
      </c>
      <c r="F212" s="18" t="s">
        <v>516</v>
      </c>
      <c r="G212" s="4" t="s">
        <v>471</v>
      </c>
      <c r="H212" s="4" t="s">
        <v>1077</v>
      </c>
      <c r="I212" s="4"/>
    </row>
    <row r="213" customFormat="false" ht="15" hidden="false" customHeight="true" outlineLevel="0" collapsed="false">
      <c r="A213" s="4" t="s">
        <v>401</v>
      </c>
      <c r="B213" s="4" t="s">
        <v>380</v>
      </c>
      <c r="C213" s="4" t="n">
        <v>1</v>
      </c>
      <c r="D213" s="6" t="n">
        <v>8.40121030807495</v>
      </c>
      <c r="E213" s="18" t="s">
        <v>157</v>
      </c>
      <c r="F213" s="18" t="s">
        <v>402</v>
      </c>
      <c r="G213" s="4" t="s">
        <v>553</v>
      </c>
      <c r="H213" s="4" t="s">
        <v>1078</v>
      </c>
      <c r="I213" s="4"/>
    </row>
    <row r="214" customFormat="false" ht="15" hidden="false" customHeight="true" outlineLevel="0" collapsed="false">
      <c r="A214" s="4" t="s">
        <v>401</v>
      </c>
      <c r="B214" s="4" t="s">
        <v>380</v>
      </c>
      <c r="C214" s="4" t="n">
        <v>2</v>
      </c>
      <c r="D214" s="6" t="n">
        <v>18.903041601181</v>
      </c>
      <c r="E214" s="18" t="s">
        <v>1056</v>
      </c>
      <c r="F214" s="18" t="s">
        <v>832</v>
      </c>
      <c r="G214" s="4" t="s">
        <v>57</v>
      </c>
      <c r="H214" s="4" t="s">
        <v>1079</v>
      </c>
      <c r="I214" s="4"/>
    </row>
    <row r="215" customFormat="false" ht="15" hidden="false" customHeight="true" outlineLevel="0" collapsed="false">
      <c r="A215" s="4" t="s">
        <v>401</v>
      </c>
      <c r="B215" s="4" t="s">
        <v>380</v>
      </c>
      <c r="C215" s="4" t="n">
        <v>3</v>
      </c>
      <c r="D215" s="6" t="n">
        <v>30.7010588645935</v>
      </c>
      <c r="E215" s="18" t="s">
        <v>863</v>
      </c>
      <c r="F215" s="18" t="s">
        <v>586</v>
      </c>
      <c r="G215" s="4" t="s">
        <v>471</v>
      </c>
      <c r="H215" s="4" t="s">
        <v>1080</v>
      </c>
      <c r="I215" s="4"/>
    </row>
    <row r="216" customFormat="false" ht="15" hidden="false" customHeight="true" outlineLevel="0" collapsed="false">
      <c r="A216" s="4" t="s">
        <v>401</v>
      </c>
      <c r="B216" s="4" t="s">
        <v>380</v>
      </c>
      <c r="C216" s="4" t="n">
        <v>4</v>
      </c>
      <c r="D216" s="6" t="n">
        <v>44.0008654594421</v>
      </c>
      <c r="E216" s="18" t="s">
        <v>157</v>
      </c>
      <c r="F216" s="18" t="s">
        <v>833</v>
      </c>
      <c r="G216" s="4" t="s">
        <v>553</v>
      </c>
      <c r="H216" s="4" t="s">
        <v>1081</v>
      </c>
      <c r="I216" s="4"/>
    </row>
    <row r="217" customFormat="false" ht="15" hidden="false" customHeight="true" outlineLevel="0" collapsed="false">
      <c r="A217" s="4" t="s">
        <v>407</v>
      </c>
      <c r="B217" s="4" t="s">
        <v>380</v>
      </c>
      <c r="C217" s="4" t="n">
        <v>1</v>
      </c>
      <c r="D217" s="6" t="n">
        <v>6.73363375663757</v>
      </c>
      <c r="E217" s="18" t="s">
        <v>102</v>
      </c>
      <c r="F217" s="18" t="s">
        <v>344</v>
      </c>
      <c r="G217" s="4" t="s">
        <v>858</v>
      </c>
      <c r="H217" s="4" t="s">
        <v>1082</v>
      </c>
      <c r="I217" s="4"/>
    </row>
    <row r="218" customFormat="false" ht="15" hidden="false" customHeight="true" outlineLevel="0" collapsed="false">
      <c r="A218" s="4" t="s">
        <v>407</v>
      </c>
      <c r="B218" s="4" t="s">
        <v>380</v>
      </c>
      <c r="C218" s="4" t="n">
        <v>2</v>
      </c>
      <c r="D218" s="6" t="n">
        <v>18.2336337566376</v>
      </c>
      <c r="E218" s="18" t="s">
        <v>866</v>
      </c>
      <c r="F218" s="18" t="s">
        <v>834</v>
      </c>
      <c r="G218" s="4" t="s">
        <v>71</v>
      </c>
      <c r="H218" s="4" t="s">
        <v>1083</v>
      </c>
      <c r="I218" s="4"/>
    </row>
    <row r="219" customFormat="false" ht="15" hidden="false" customHeight="true" outlineLevel="0" collapsed="false">
      <c r="A219" s="4" t="s">
        <v>407</v>
      </c>
      <c r="B219" s="4" t="s">
        <v>380</v>
      </c>
      <c r="C219" s="4" t="n">
        <v>3</v>
      </c>
      <c r="D219" s="6" t="n">
        <v>40.0996336936951</v>
      </c>
      <c r="E219" s="18" t="s">
        <v>863</v>
      </c>
      <c r="F219" s="18" t="s">
        <v>837</v>
      </c>
      <c r="G219" s="4" t="s">
        <v>471</v>
      </c>
      <c r="H219" s="4" t="s">
        <v>1084</v>
      </c>
      <c r="I219" s="4"/>
    </row>
    <row r="220" customFormat="false" ht="15" hidden="false" customHeight="true" outlineLevel="0" collapsed="false">
      <c r="A220" s="4" t="s">
        <v>407</v>
      </c>
      <c r="B220" s="4" t="s">
        <v>380</v>
      </c>
      <c r="C220" s="4" t="n">
        <v>4</v>
      </c>
      <c r="D220" s="6" t="n">
        <v>50.2746336460114</v>
      </c>
      <c r="E220" s="18" t="s">
        <v>861</v>
      </c>
      <c r="F220" s="18" t="s">
        <v>466</v>
      </c>
      <c r="G220" s="4" t="s">
        <v>467</v>
      </c>
      <c r="H220" s="4" t="s">
        <v>1085</v>
      </c>
      <c r="I220" s="4"/>
    </row>
    <row r="221" customFormat="false" ht="15" hidden="false" customHeight="false" outlineLevel="0" collapsed="false">
      <c r="A221" s="4" t="s">
        <v>415</v>
      </c>
      <c r="B221" s="4" t="s">
        <v>380</v>
      </c>
      <c r="C221" s="4" t="n">
        <v>1</v>
      </c>
      <c r="D221" s="6" t="n">
        <v>7.17985320091248</v>
      </c>
      <c r="E221" s="18" t="s">
        <v>102</v>
      </c>
      <c r="F221" s="18" t="s">
        <v>416</v>
      </c>
      <c r="G221" s="4" t="s">
        <v>858</v>
      </c>
      <c r="H221" s="4" t="s">
        <v>1086</v>
      </c>
      <c r="I221" s="4"/>
    </row>
    <row r="222" customFormat="false" ht="15" hidden="false" customHeight="false" outlineLevel="0" collapsed="false">
      <c r="A222" s="4" t="s">
        <v>415</v>
      </c>
      <c r="B222" s="4" t="s">
        <v>380</v>
      </c>
      <c r="C222" s="4" t="n">
        <v>2</v>
      </c>
      <c r="D222" s="6" t="n">
        <v>22.6718533039093</v>
      </c>
      <c r="E222" s="18" t="s">
        <v>222</v>
      </c>
      <c r="F222" s="18" t="s">
        <v>849</v>
      </c>
      <c r="G222" s="4" t="s">
        <v>57</v>
      </c>
      <c r="H222" s="4" t="s">
        <v>1087</v>
      </c>
      <c r="I222" s="4"/>
    </row>
    <row r="223" customFormat="false" ht="15" hidden="false" customHeight="false" outlineLevel="0" collapsed="false">
      <c r="A223" s="4" t="s">
        <v>415</v>
      </c>
      <c r="B223" s="4" t="s">
        <v>380</v>
      </c>
      <c r="C223" s="4" t="n">
        <v>3</v>
      </c>
      <c r="D223" s="6" t="n">
        <v>35.8688533306122</v>
      </c>
      <c r="E223" s="18" t="s">
        <v>861</v>
      </c>
      <c r="F223" s="18" t="s">
        <v>516</v>
      </c>
      <c r="G223" s="4" t="s">
        <v>467</v>
      </c>
      <c r="H223" s="4" t="s">
        <v>1088</v>
      </c>
      <c r="I223" s="4"/>
    </row>
    <row r="224" customFormat="false" ht="15" hidden="false" customHeight="false" outlineLevel="0" collapsed="false">
      <c r="A224" s="4" t="s">
        <v>415</v>
      </c>
      <c r="B224" s="4" t="s">
        <v>380</v>
      </c>
      <c r="C224" s="4" t="n">
        <v>4</v>
      </c>
      <c r="D224" s="6" t="n">
        <v>46.6078531742096</v>
      </c>
      <c r="E224" s="18" t="s">
        <v>863</v>
      </c>
      <c r="F224" s="18" t="s">
        <v>487</v>
      </c>
      <c r="G224" s="4" t="s">
        <v>471</v>
      </c>
      <c r="H224" s="4" t="s">
        <v>1089</v>
      </c>
      <c r="I224" s="4"/>
    </row>
  </sheetData>
  <autoFilter ref="A1:I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4"/>
    <col collapsed="false" customWidth="true" hidden="false" outlineLevel="0" max="3" min="3" style="1" width="8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3"/>
  </cols>
  <sheetData>
    <row r="1" customFormat="false" ht="15" hidden="false" customHeight="true" outlineLevel="0" collapsed="false">
      <c r="A1" s="19" t="s">
        <v>1090</v>
      </c>
    </row>
    <row r="2" customFormat="false" ht="15" hidden="false" customHeight="true" outlineLevel="0" collapsed="false">
      <c r="A2" s="20" t="s">
        <v>1091</v>
      </c>
    </row>
    <row r="4" customFormat="false" ht="42" hidden="false" customHeight="true" outlineLevel="0" collapsed="false">
      <c r="A4" s="2" t="s">
        <v>4</v>
      </c>
      <c r="B4" s="2" t="s">
        <v>5</v>
      </c>
      <c r="C4" s="2" t="s">
        <v>1092</v>
      </c>
      <c r="D4" s="2" t="s">
        <v>1093</v>
      </c>
      <c r="E4" s="2" t="s">
        <v>1094</v>
      </c>
      <c r="F4" s="2" t="s">
        <v>1095</v>
      </c>
      <c r="G4" s="2" t="s">
        <v>1096</v>
      </c>
      <c r="H4" s="2" t="s">
        <v>1097</v>
      </c>
      <c r="I4" s="2" t="s">
        <v>1098</v>
      </c>
      <c r="J4" s="2" t="s">
        <v>1099</v>
      </c>
      <c r="K4" s="2" t="s">
        <v>1100</v>
      </c>
    </row>
    <row r="5" customFormat="false" ht="15" hidden="false" customHeight="true" outlineLevel="0" collapsed="false">
      <c r="A5" s="4" t="s">
        <v>38</v>
      </c>
      <c r="B5" s="4" t="s">
        <v>1101</v>
      </c>
      <c r="C5" s="4" t="n">
        <f aca="false">COUNTIFS(Experiments!$E$2:$E$5000,$A5)</f>
        <v>14</v>
      </c>
      <c r="D5" s="4" t="n">
        <f aca="false">COUNTIFS(Experiments!$E$2:$E$5000,$A5,Experiments!$Q$2:$Q$5000,"yes")</f>
        <v>3</v>
      </c>
      <c r="E5" s="4" t="n">
        <f aca="false">COUNTIFS(Experiments!$E$2:$E$5000,$A5,Experiments!$Q$2:$Q$5000,"no")</f>
        <v>0</v>
      </c>
      <c r="F5" s="21" t="n">
        <f aca="false">IF(D5+E5=0,"",D5/(D5+E5))</f>
        <v>1</v>
      </c>
      <c r="G5" s="4" t="n">
        <f aca="false">COUNTIFS(Experiments!$E$2:$E$5000,$A5,Experiments!$O$2:$O$5000,"yes")</f>
        <v>1</v>
      </c>
      <c r="H5" s="6" t="n">
        <f aca="false">IF(COUNTIFS(Experiments!$E$2:$E$5000,$A5,Experiments!$R$2:$R$5000,"&lt;&gt;")=0,"",AVERAGEIFS(Experiments!$R$2:$R$5000,Experiments!$E$2:$E$5000,$A5))</f>
        <v>4.319</v>
      </c>
      <c r="I5" s="6" t="n">
        <f aca="false">IF(COUNTIFS(Experiments!$E$2:$E$5000,$A5,Experiments!$S$2:$S$5000,"&lt;&gt;")=0,"",AVERAGEIFS(Experiments!$S$2:$S$5000,Experiments!$E$2:$E$5000,$A5))</f>
        <v>31.686</v>
      </c>
      <c r="J5" s="6" t="n">
        <f aca="false">IF(COUNTIFS(Experiments!$E$2:$E$5000,$A5,Experiments!$AC$2:$AC$5000,"&lt;&gt;")=0,"",AVERAGEIFS(Experiments!$AC$2:$AC$5000,Experiments!$E$2:$E$5000,$A5))</f>
        <v>21.043</v>
      </c>
      <c r="K5" s="6" t="n">
        <f aca="false">IF(COUNTIFS(Experiments!$E$2:$E$5000,$A5,Experiments!$AB$2:$AB$5000,"&lt;&gt;")=0,"",AVERAGEIFS(Experiments!$AB$2:$AB$5000,Experiments!$E$2:$E$5000,$A5))</f>
        <v>10.643</v>
      </c>
    </row>
    <row r="6" customFormat="false" ht="15" hidden="false" customHeight="true" outlineLevel="0" collapsed="false">
      <c r="A6" s="4" t="s">
        <v>47</v>
      </c>
      <c r="B6" s="4" t="s">
        <v>1102</v>
      </c>
      <c r="C6" s="4" t="n">
        <f aca="false">COUNTIFS(Experiments!$E$2:$E$5000,$A6)</f>
        <v>13</v>
      </c>
      <c r="D6" s="4" t="n">
        <f aca="false">COUNTIFS(Experiments!$E$2:$E$5000,$A6,Experiments!$Q$2:$Q$5000,"yes")</f>
        <v>3</v>
      </c>
      <c r="E6" s="4" t="n">
        <f aca="false">COUNTIFS(Experiments!$E$2:$E$5000,$A6,Experiments!$Q$2:$Q$5000,"no")</f>
        <v>0</v>
      </c>
      <c r="F6" s="21" t="n">
        <f aca="false">IF(D6+E6=0,"",D6/(D6+E6))</f>
        <v>1</v>
      </c>
      <c r="G6" s="4" t="n">
        <f aca="false">COUNTIFS(Experiments!$E$2:$E$5000,$A6,Experiments!$O$2:$O$5000,"yes")</f>
        <v>0</v>
      </c>
      <c r="H6" s="6" t="str">
        <f aca="false">IF(COUNTIFS(Experiments!$E$2:$E$5000,$A6,Experiments!$R$2:$R$5000,"&lt;&gt;")=0,"",AVERAGEIFS(Experiments!$R$2:$R$5000,Experiments!$E$2:$E$5000,$A6))</f>
        <v/>
      </c>
      <c r="I6" s="6" t="str">
        <f aca="false">IF(COUNTIFS(Experiments!$E$2:$E$5000,$A6,Experiments!$S$2:$S$5000,"&lt;&gt;")=0,"",AVERAGEIFS(Experiments!$S$2:$S$5000,Experiments!$E$2:$E$5000,$A6))</f>
        <v/>
      </c>
      <c r="J6" s="6" t="str">
        <f aca="false">IF(COUNTIFS(Experiments!$E$2:$E$5000,$A6,Experiments!$AC$2:$AC$5000,"&lt;&gt;")=0,"",AVERAGEIFS(Experiments!$AC$2:$AC$5000,Experiments!$E$2:$E$5000,$A6))</f>
        <v/>
      </c>
      <c r="K6" s="6" t="str">
        <f aca="false">IF(COUNTIFS(Experiments!$E$2:$E$5000,$A6,Experiments!$AB$2:$AB$5000,"&lt;&gt;")=0,"",AVERAGEIFS(Experiments!$AB$2:$AB$5000,Experiments!$E$2:$E$5000,$A6))</f>
        <v/>
      </c>
    </row>
    <row r="7" customFormat="false" ht="15" hidden="false" customHeight="true" outlineLevel="0" collapsed="false">
      <c r="A7" s="4" t="s">
        <v>54</v>
      </c>
      <c r="B7" s="4" t="s">
        <v>1103</v>
      </c>
      <c r="C7" s="4" t="n">
        <f aca="false">COUNTIFS(Experiments!$E$2:$E$5000,$A7)</f>
        <v>14</v>
      </c>
      <c r="D7" s="4" t="n">
        <f aca="false">COUNTIFS(Experiments!$E$2:$E$5000,$A7,Experiments!$Q$2:$Q$5000,"yes")</f>
        <v>13</v>
      </c>
      <c r="E7" s="4" t="n">
        <f aca="false">COUNTIFS(Experiments!$E$2:$E$5000,$A7,Experiments!$Q$2:$Q$5000,"no")</f>
        <v>0</v>
      </c>
      <c r="F7" s="21" t="n">
        <f aca="false">IF(D7+E7=0,"",D7/(D7+E7))</f>
        <v>1</v>
      </c>
      <c r="G7" s="4" t="n">
        <f aca="false">COUNTIFS(Experiments!$E$2:$E$5000,$A7,Experiments!$O$2:$O$5000,"yes")</f>
        <v>13</v>
      </c>
      <c r="H7" s="6" t="n">
        <f aca="false">IF(COUNTIFS(Experiments!$E$2:$E$5000,$A7,Experiments!$R$2:$R$5000,"&lt;&gt;")=0,"",AVERAGEIFS(Experiments!$R$2:$R$5000,Experiments!$E$2:$E$5000,$A7))</f>
        <v>3.8955</v>
      </c>
      <c r="I7" s="6" t="n">
        <f aca="false">IF(COUNTIFS(Experiments!$E$2:$E$5000,$A7,Experiments!$S$2:$S$5000,"&lt;&gt;")=0,"",AVERAGEIFS(Experiments!$S$2:$S$5000,Experiments!$E$2:$E$5000,$A7))</f>
        <v>41.2646428571429</v>
      </c>
      <c r="J7" s="6" t="n">
        <f aca="false">IF(COUNTIFS(Experiments!$E$2:$E$5000,$A7,Experiments!$AC$2:$AC$5000,"&lt;&gt;")=0,"",AVERAGEIFS(Experiments!$AC$2:$AC$5000,Experiments!$E$2:$E$5000,$A7))</f>
        <v>20.6170714285714</v>
      </c>
      <c r="K7" s="6" t="n">
        <f aca="false">IF(COUNTIFS(Experiments!$E$2:$E$5000,$A7,Experiments!$AB$2:$AB$5000,"&lt;&gt;")=0,"",AVERAGEIFS(Experiments!$AB$2:$AB$5000,Experiments!$E$2:$E$5000,$A7))</f>
        <v>20.6475714285714</v>
      </c>
    </row>
    <row r="8" customFormat="false" ht="15" hidden="false" customHeight="true" outlineLevel="0" collapsed="false">
      <c r="A8" s="4" t="s">
        <v>67</v>
      </c>
      <c r="B8" s="4" t="s">
        <v>1104</v>
      </c>
      <c r="C8" s="4" t="n">
        <f aca="false">COUNTIFS(Experiments!$E$2:$E$5000,$A8)</f>
        <v>13</v>
      </c>
      <c r="D8" s="4" t="n">
        <f aca="false">COUNTIFS(Experiments!$E$2:$E$5000,$A8,Experiments!$Q$2:$Q$5000,"yes")</f>
        <v>13</v>
      </c>
      <c r="E8" s="4" t="n">
        <f aca="false">COUNTIFS(Experiments!$E$2:$E$5000,$A8,Experiments!$Q$2:$Q$5000,"no")</f>
        <v>0</v>
      </c>
      <c r="F8" s="21" t="n">
        <f aca="false">IF(D8+E8=0,"",D8/(D8+E8))</f>
        <v>1</v>
      </c>
      <c r="G8" s="4" t="n">
        <f aca="false">COUNTIFS(Experiments!$E$2:$E$5000,$A8,Experiments!$O$2:$O$5000,"yes")</f>
        <v>12</v>
      </c>
      <c r="H8" s="6" t="n">
        <f aca="false">IF(COUNTIFS(Experiments!$E$2:$E$5000,$A8,Experiments!$R$2:$R$5000,"&lt;&gt;")=0,"",AVERAGEIFS(Experiments!$R$2:$R$5000,Experiments!$E$2:$E$5000,$A8))</f>
        <v>24.4946923076923</v>
      </c>
      <c r="I8" s="6" t="n">
        <f aca="false">IF(COUNTIFS(Experiments!$E$2:$E$5000,$A8,Experiments!$S$2:$S$5000,"&lt;&gt;")=0,"",AVERAGEIFS(Experiments!$S$2:$S$5000,Experiments!$E$2:$E$5000,$A8))</f>
        <v>64.5675384615385</v>
      </c>
      <c r="J8" s="6" t="n">
        <f aca="false">IF(COUNTIFS(Experiments!$E$2:$E$5000,$A8,Experiments!$AC$2:$AC$5000,"&lt;&gt;")=0,"",AVERAGEIFS(Experiments!$AC$2:$AC$5000,Experiments!$E$2:$E$5000,$A8))</f>
        <v>43.0841538461539</v>
      </c>
      <c r="K8" s="6" t="n">
        <f aca="false">IF(COUNTIFS(Experiments!$E$2:$E$5000,$A8,Experiments!$AB$2:$AB$5000,"&lt;&gt;")=0,"",AVERAGEIFS(Experiments!$AB$2:$AB$5000,Experiments!$E$2:$E$5000,$A8))</f>
        <v>21.4833846153846</v>
      </c>
    </row>
    <row r="9" customFormat="false" ht="15" hidden="false" customHeight="true" outlineLevel="0" collapsed="false">
      <c r="A9" s="4" t="s">
        <v>76</v>
      </c>
      <c r="B9" s="4" t="s">
        <v>1105</v>
      </c>
      <c r="C9" s="4" t="n">
        <f aca="false">COUNTIFS(Experiments!$E$2:$E$5000,$A9)</f>
        <v>11</v>
      </c>
      <c r="D9" s="4" t="n">
        <f aca="false">COUNTIFS(Experiments!$E$2:$E$5000,$A9,Experiments!$Q$2:$Q$5000,"yes")</f>
        <v>11</v>
      </c>
      <c r="E9" s="4" t="n">
        <f aca="false">COUNTIFS(Experiments!$E$2:$E$5000,$A9,Experiments!$Q$2:$Q$5000,"no")</f>
        <v>0</v>
      </c>
      <c r="F9" s="21" t="n">
        <f aca="false">IF(D9+E9=0,"",D9/(D9+E9))</f>
        <v>1</v>
      </c>
      <c r="G9" s="4" t="n">
        <f aca="false">COUNTIFS(Experiments!$E$2:$E$5000,$A9,Experiments!$O$2:$O$5000,"yes")</f>
        <v>11</v>
      </c>
      <c r="H9" s="6" t="n">
        <f aca="false">IF(COUNTIFS(Experiments!$E$2:$E$5000,$A9,Experiments!$R$2:$R$5000,"&lt;&gt;")=0,"",AVERAGEIFS(Experiments!$R$2:$R$5000,Experiments!$E$2:$E$5000,$A9))</f>
        <v>23.086</v>
      </c>
      <c r="I9" s="6" t="n">
        <f aca="false">IF(COUNTIFS(Experiments!$E$2:$E$5000,$A9,Experiments!$S$2:$S$5000,"&lt;&gt;")=0,"",AVERAGEIFS(Experiments!$S$2:$S$5000,Experiments!$E$2:$E$5000,$A9))</f>
        <v>58.1966363636364</v>
      </c>
      <c r="J9" s="6" t="n">
        <f aca="false">IF(COUNTIFS(Experiments!$E$2:$E$5000,$A9,Experiments!$AC$2:$AC$5000,"&lt;&gt;")=0,"",AVERAGEIFS(Experiments!$AC$2:$AC$5000,Experiments!$E$2:$E$5000,$A9))</f>
        <v>32.5768181818182</v>
      </c>
      <c r="K9" s="6" t="n">
        <f aca="false">IF(COUNTIFS(Experiments!$E$2:$E$5000,$A9,Experiments!$AB$2:$AB$5000,"&lt;&gt;")=0,"",AVERAGEIFS(Experiments!$AB$2:$AB$5000,Experiments!$E$2:$E$5000,$A9))</f>
        <v>25.6198181818182</v>
      </c>
    </row>
    <row r="10" customFormat="false" ht="15" hidden="false" customHeight="true" outlineLevel="0" collapsed="false">
      <c r="A10" s="4" t="s">
        <v>83</v>
      </c>
      <c r="B10" s="4" t="s">
        <v>1106</v>
      </c>
      <c r="C10" s="4" t="n">
        <f aca="false">COUNTIFS(Experiments!$E$2:$E$5000,$A10)</f>
        <v>12</v>
      </c>
      <c r="D10" s="4" t="n">
        <f aca="false">COUNTIFS(Experiments!$E$2:$E$5000,$A10,Experiments!$Q$2:$Q$5000,"yes")</f>
        <v>12</v>
      </c>
      <c r="E10" s="4" t="n">
        <f aca="false">COUNTIFS(Experiments!$E$2:$E$5000,$A10,Experiments!$Q$2:$Q$5000,"no")</f>
        <v>0</v>
      </c>
      <c r="F10" s="21" t="n">
        <f aca="false">IF(D10+E10=0,"",D10/(D10+E10))</f>
        <v>1</v>
      </c>
      <c r="G10" s="4" t="n">
        <f aca="false">COUNTIFS(Experiments!$E$2:$E$5000,$A10,Experiments!$O$2:$O$5000,"yes")</f>
        <v>12</v>
      </c>
      <c r="H10" s="6" t="n">
        <f aca="false">IF(COUNTIFS(Experiments!$E$2:$E$5000,$A10,Experiments!$R$2:$R$5000,"&lt;&gt;")=0,"",AVERAGEIFS(Experiments!$R$2:$R$5000,Experiments!$E$2:$E$5000,$A10))</f>
        <v>10.9404166666667</v>
      </c>
      <c r="I10" s="6" t="n">
        <f aca="false">IF(COUNTIFS(Experiments!$E$2:$E$5000,$A10,Experiments!$S$2:$S$5000,"&lt;&gt;")=0,"",AVERAGEIFS(Experiments!$S$2:$S$5000,Experiments!$E$2:$E$5000,$A10))</f>
        <v>52.5216666666667</v>
      </c>
      <c r="J10" s="6" t="n">
        <f aca="false">IF(COUNTIFS(Experiments!$E$2:$E$5000,$A10,Experiments!$AC$2:$AC$5000,"&lt;&gt;")=0,"",AVERAGEIFS(Experiments!$AC$2:$AC$5000,Experiments!$E$2:$E$5000,$A10))</f>
        <v>19.7648333333333</v>
      </c>
      <c r="K10" s="6" t="n">
        <f aca="false">IF(COUNTIFS(Experiments!$E$2:$E$5000,$A10,Experiments!$AB$2:$AB$5000,"&lt;&gt;")=0,"",AVERAGEIFS(Experiments!$AB$2:$AB$5000,Experiments!$E$2:$E$5000,$A10))</f>
        <v>32.7568333333333</v>
      </c>
    </row>
    <row r="11" customFormat="false" ht="15" hidden="false" customHeight="true" outlineLevel="0" collapsed="false">
      <c r="A11" s="4" t="s">
        <v>150</v>
      </c>
      <c r="B11" s="4" t="s">
        <v>1107</v>
      </c>
      <c r="C11" s="4" t="n">
        <f aca="false">COUNTIFS(Experiments!$E$2:$E$5000,$A11)</f>
        <v>11</v>
      </c>
      <c r="D11" s="4" t="n">
        <f aca="false">COUNTIFS(Experiments!$E$2:$E$5000,$A11,Experiments!$Q$2:$Q$5000,"yes")</f>
        <v>3</v>
      </c>
      <c r="E11" s="4" t="n">
        <f aca="false">COUNTIFS(Experiments!$E$2:$E$5000,$A11,Experiments!$Q$2:$Q$5000,"no")</f>
        <v>0</v>
      </c>
      <c r="F11" s="21" t="n">
        <f aca="false">IF(D11+E11=0,"",D11/(D11+E11))</f>
        <v>1</v>
      </c>
      <c r="G11" s="4" t="n">
        <f aca="false">COUNTIFS(Experiments!$E$2:$E$5000,$A11,Experiments!$O$2:$O$5000,"yes")</f>
        <v>0</v>
      </c>
      <c r="H11" s="6" t="n">
        <f aca="false">IF(COUNTIFS(Experiments!$E$2:$E$5000,$A11,Experiments!$R$2:$R$5000,"&lt;&gt;")=0,"",AVERAGEIFS(Experiments!$R$2:$R$5000,Experiments!$E$2:$E$5000,$A11))</f>
        <v>8.64027272727273</v>
      </c>
      <c r="I11" s="6" t="str">
        <f aca="false">IF(COUNTIFS(Experiments!$E$2:$E$5000,$A11,Experiments!$S$2:$S$5000,"&lt;&gt;")=0,"",AVERAGEIFS(Experiments!$S$2:$S$5000,Experiments!$E$2:$E$5000,$A11))</f>
        <v/>
      </c>
      <c r="J11" s="6" t="str">
        <f aca="false">IF(COUNTIFS(Experiments!$E$2:$E$5000,$A11,Experiments!$AC$2:$AC$5000,"&lt;&gt;")=0,"",AVERAGEIFS(Experiments!$AC$2:$AC$5000,Experiments!$E$2:$E$5000,$A11))</f>
        <v/>
      </c>
      <c r="K11" s="6" t="str">
        <f aca="false">IF(COUNTIFS(Experiments!$E$2:$E$5000,$A11,Experiments!$AB$2:$AB$5000,"&lt;&gt;")=0,"",AVERAGEIFS(Experiments!$AB$2:$AB$5000,Experiments!$E$2:$E$5000,$A11))</f>
        <v/>
      </c>
    </row>
    <row r="12" customFormat="false" ht="15" hidden="false" customHeight="true" outlineLevel="0" collapsed="false">
      <c r="A12" s="17" t="s">
        <v>1108</v>
      </c>
      <c r="B12" s="17"/>
      <c r="C12" s="17" t="n">
        <f aca="false">SUM(C5:C11)</f>
        <v>88</v>
      </c>
      <c r="D12" s="17" t="n">
        <f aca="false">SUM(D5:D11)</f>
        <v>58</v>
      </c>
      <c r="E12" s="17" t="n">
        <f aca="false">SUM(E5:E11)</f>
        <v>0</v>
      </c>
      <c r="F12" s="22" t="n">
        <f aca="false">IF(D12+E12=0,"",D12/(D12+E12))</f>
        <v>1</v>
      </c>
      <c r="G12" s="17" t="n">
        <f aca="false">SUM(G5:G11)</f>
        <v>49</v>
      </c>
      <c r="H12" s="23" t="n">
        <f aca="false">IF(COUNT(Experiments!$R$2:$R$5000)=0,"",AVERAGE(Experiments!$R$2:$R$5000))</f>
        <v>13.8316290322581</v>
      </c>
      <c r="I12" s="23" t="n">
        <f aca="false">IF(COUNT(Experiments!$S$2:$S$5000)=0,"",AVERAGE(Experiments!$S$2:$S$5000))</f>
        <v>53.3174901960784</v>
      </c>
      <c r="J12" s="23" t="n">
        <f aca="false">IF(COUNT(Experiments!$AC$2:$AC$5000)=0,"",AVERAGE(Experiments!$AC$2:$AC$5000))</f>
        <v>28.7313529411765</v>
      </c>
      <c r="K12" s="23" t="n">
        <f aca="false">IF(COUNT(Experiments!$AB$2:$AB$5000)=0,"",AVERAGE(Experiments!$AB$2:$AB$5000))</f>
        <v>24.586137254902</v>
      </c>
    </row>
    <row r="14" customFormat="false" ht="15" hidden="false" customHeight="true" outlineLevel="0" collapsed="false">
      <c r="A14" s="24" t="s">
        <v>1109</v>
      </c>
    </row>
    <row r="15" customFormat="false" ht="15" hidden="false" customHeight="true" outlineLevel="0" collapsed="false">
      <c r="A15" s="25" t="s">
        <v>4</v>
      </c>
      <c r="B15" s="25" t="s">
        <v>37</v>
      </c>
    </row>
    <row r="16" customFormat="false" ht="15" hidden="false" customHeight="true" outlineLevel="0" collapsed="false">
      <c r="A16" s="13" t="s">
        <v>38</v>
      </c>
      <c r="B16" s="13" t="n">
        <f aca="false">COUNTIFS(Experiments!$E$2:$E$5000,$A16,Experiments!$D$2:$D$5000,"Layout A")</f>
        <v>6</v>
      </c>
    </row>
    <row r="17" customFormat="false" ht="15" hidden="false" customHeight="true" outlineLevel="0" collapsed="false">
      <c r="A17" s="13" t="s">
        <v>47</v>
      </c>
      <c r="B17" s="13" t="n">
        <f aca="false">COUNTIFS(Experiments!$E$2:$E$5000,$A17,Experiments!$D$2:$D$5000,"Layout A")</f>
        <v>5</v>
      </c>
    </row>
    <row r="18" customFormat="false" ht="15" hidden="false" customHeight="true" outlineLevel="0" collapsed="false">
      <c r="A18" s="13" t="s">
        <v>54</v>
      </c>
      <c r="B18" s="13" t="n">
        <f aca="false">COUNTIFS(Experiments!$E$2:$E$5000,$A18,Experiments!$D$2:$D$5000,"Layout A")</f>
        <v>7</v>
      </c>
    </row>
    <row r="19" customFormat="false" ht="15" hidden="false" customHeight="true" outlineLevel="0" collapsed="false">
      <c r="A19" s="13" t="s">
        <v>67</v>
      </c>
      <c r="B19" s="13" t="n">
        <f aca="false">COUNTIFS(Experiments!$E$2:$E$5000,$A19,Experiments!$D$2:$D$5000,"Layout A")</f>
        <v>7</v>
      </c>
    </row>
    <row r="20" customFormat="false" ht="15" hidden="false" customHeight="true" outlineLevel="0" collapsed="false">
      <c r="A20" s="13" t="s">
        <v>76</v>
      </c>
      <c r="B20" s="13" t="n">
        <f aca="false">COUNTIFS(Experiments!$E$2:$E$5000,$A20,Experiments!$D$2:$D$5000,"Layout A")</f>
        <v>6</v>
      </c>
    </row>
    <row r="21" customFormat="false" ht="15" hidden="false" customHeight="true" outlineLevel="0" collapsed="false">
      <c r="A21" s="13" t="s">
        <v>83</v>
      </c>
      <c r="B21" s="13" t="n">
        <f aca="false">COUNTIFS(Experiments!$E$2:$E$5000,$A21,Experiments!$D$2:$D$5000,"Layout A")</f>
        <v>5</v>
      </c>
    </row>
    <row r="22" customFormat="false" ht="15" hidden="false" customHeight="true" outlineLevel="0" collapsed="false">
      <c r="A22" s="13" t="s">
        <v>150</v>
      </c>
      <c r="B22" s="13" t="n">
        <f aca="false">COUNTIFS(Experiments!$E$2:$E$5000,$A22,Experiments!$D$2:$D$5000,"Layout A")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0"/>
  </cols>
  <sheetData>
    <row r="1" customFormat="false" ht="42" hidden="false" customHeight="true" outlineLevel="0" collapsed="false">
      <c r="A1" s="2" t="s">
        <v>1110</v>
      </c>
      <c r="B1" s="2" t="s">
        <v>1111</v>
      </c>
    </row>
    <row r="2" customFormat="false" ht="15" hidden="false" customHeight="true" outlineLevel="0" collapsed="false">
      <c r="A2" s="24" t="s">
        <v>1112</v>
      </c>
      <c r="B2" s="18" t="s">
        <v>1113</v>
      </c>
    </row>
    <row r="3" customFormat="false" ht="15" hidden="false" customHeight="true" outlineLevel="0" collapsed="false">
      <c r="A3" s="24" t="s">
        <v>17</v>
      </c>
      <c r="B3" s="18" t="s">
        <v>1114</v>
      </c>
    </row>
    <row r="4" customFormat="false" ht="15" hidden="false" customHeight="true" outlineLevel="0" collapsed="false">
      <c r="A4" s="24" t="s">
        <v>18</v>
      </c>
      <c r="B4" s="18" t="s">
        <v>1115</v>
      </c>
    </row>
    <row r="5" customFormat="false" ht="15" hidden="false" customHeight="true" outlineLevel="0" collapsed="false">
      <c r="A5" s="24" t="s">
        <v>20</v>
      </c>
      <c r="B5" s="18" t="s">
        <v>1116</v>
      </c>
    </row>
    <row r="6" customFormat="false" ht="15" hidden="false" customHeight="true" outlineLevel="0" collapsed="false">
      <c r="A6" s="24" t="s">
        <v>427</v>
      </c>
      <c r="B6" s="18" t="s">
        <v>1117</v>
      </c>
    </row>
    <row r="7" customFormat="false" ht="15" hidden="false" customHeight="true" outlineLevel="0" collapsed="false">
      <c r="A7" s="24" t="s">
        <v>428</v>
      </c>
      <c r="B7" s="18" t="s">
        <v>1118</v>
      </c>
    </row>
    <row r="8" customFormat="false" ht="15" hidden="false" customHeight="true" outlineLevel="0" collapsed="false">
      <c r="A8" s="24" t="s">
        <v>429</v>
      </c>
      <c r="B8" s="18" t="s">
        <v>1119</v>
      </c>
    </row>
    <row r="9" customFormat="false" ht="15" hidden="false" customHeight="true" outlineLevel="0" collapsed="false">
      <c r="A9" s="24" t="s">
        <v>21</v>
      </c>
      <c r="B9" s="18" t="s">
        <v>1120</v>
      </c>
    </row>
    <row r="10" customFormat="false" ht="15" hidden="false" customHeight="true" outlineLevel="0" collapsed="false">
      <c r="A10" s="24" t="s">
        <v>430</v>
      </c>
      <c r="B10" s="18" t="s">
        <v>1121</v>
      </c>
    </row>
    <row r="11" customFormat="false" ht="15" hidden="false" customHeight="true" outlineLevel="0" collapsed="false">
      <c r="A11" s="24" t="s">
        <v>431</v>
      </c>
      <c r="B11" s="18" t="s">
        <v>1122</v>
      </c>
    </row>
    <row r="12" customFormat="false" ht="15" hidden="false" customHeight="true" outlineLevel="0" collapsed="false">
      <c r="A12" s="24" t="s">
        <v>22</v>
      </c>
      <c r="B12" s="18" t="s">
        <v>1123</v>
      </c>
    </row>
    <row r="13" customFormat="false" ht="15" hidden="false" customHeight="true" outlineLevel="0" collapsed="false">
      <c r="A13" s="24" t="s">
        <v>432</v>
      </c>
      <c r="B13" s="18" t="s">
        <v>1124</v>
      </c>
    </row>
    <row r="14" customFormat="false" ht="15" hidden="false" customHeight="true" outlineLevel="0" collapsed="false">
      <c r="A14" s="24" t="s">
        <v>433</v>
      </c>
      <c r="B14" s="18" t="s">
        <v>1125</v>
      </c>
    </row>
    <row r="15" customFormat="false" ht="15" hidden="false" customHeight="true" outlineLevel="0" collapsed="false">
      <c r="A15" s="24" t="s">
        <v>434</v>
      </c>
      <c r="B15" s="18" t="s">
        <v>1126</v>
      </c>
    </row>
    <row r="16" customFormat="false" ht="15" hidden="false" customHeight="true" outlineLevel="0" collapsed="false">
      <c r="A16" s="24" t="s">
        <v>23</v>
      </c>
      <c r="B16" s="18" t="s">
        <v>1127</v>
      </c>
    </row>
    <row r="17" customFormat="false" ht="15" hidden="false" customHeight="true" outlineLevel="0" collapsed="false">
      <c r="A17" s="24" t="s">
        <v>24</v>
      </c>
      <c r="B17" s="18" t="s">
        <v>1128</v>
      </c>
    </row>
    <row r="18" customFormat="false" ht="15" hidden="false" customHeight="true" outlineLevel="0" collapsed="false">
      <c r="A18" s="24" t="s">
        <v>435</v>
      </c>
      <c r="B18" s="18" t="s">
        <v>1129</v>
      </c>
    </row>
    <row r="19" customFormat="false" ht="15" hidden="false" customHeight="true" outlineLevel="0" collapsed="false">
      <c r="A19" s="24" t="s">
        <v>436</v>
      </c>
      <c r="B19" s="18" t="s">
        <v>1130</v>
      </c>
    </row>
    <row r="20" customFormat="false" ht="15" hidden="false" customHeight="true" outlineLevel="0" collapsed="false">
      <c r="A20" s="24" t="s">
        <v>25</v>
      </c>
      <c r="B20" s="18" t="s">
        <v>1131</v>
      </c>
    </row>
    <row r="21" customFormat="false" ht="15" hidden="false" customHeight="true" outlineLevel="0" collapsed="false">
      <c r="A21" s="24" t="s">
        <v>437</v>
      </c>
      <c r="B21" s="18" t="s">
        <v>1132</v>
      </c>
    </row>
    <row r="22" customFormat="false" ht="15" hidden="false" customHeight="true" outlineLevel="0" collapsed="false">
      <c r="A22" s="24" t="s">
        <v>26</v>
      </c>
      <c r="B22" s="18" t="s">
        <v>1133</v>
      </c>
    </row>
    <row r="23" customFormat="false" ht="15" hidden="false" customHeight="true" outlineLevel="0" collapsed="false">
      <c r="A23" s="24" t="s">
        <v>27</v>
      </c>
      <c r="B23" s="18" t="s">
        <v>1134</v>
      </c>
    </row>
    <row r="24" customFormat="false" ht="15" hidden="false" customHeight="true" outlineLevel="0" collapsed="false">
      <c r="A24" s="24" t="s">
        <v>28</v>
      </c>
      <c r="B24" s="18" t="s">
        <v>1135</v>
      </c>
    </row>
    <row r="25" customFormat="false" ht="15" hidden="false" customHeight="true" outlineLevel="0" collapsed="false">
      <c r="A25" s="24" t="s">
        <v>29</v>
      </c>
      <c r="B25" s="18" t="s">
        <v>1136</v>
      </c>
    </row>
    <row r="26" customFormat="false" ht="15" hidden="false" customHeight="true" outlineLevel="0" collapsed="false">
      <c r="A26" s="24" t="s">
        <v>1137</v>
      </c>
      <c r="B26" s="18" t="s">
        <v>1138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true" outlineLevel="0" collapsed="false">
      <c r="A1" s="1" t="s">
        <v>1139</v>
      </c>
    </row>
    <row r="2" customFormat="false" ht="15" hidden="false" customHeight="true" outlineLevel="0" collapsed="false">
      <c r="A2" s="1" t="s">
        <v>1140</v>
      </c>
    </row>
    <row r="3" customFormat="false" ht="15" hidden="false" customHeight="true" outlineLevel="0" collapsed="false">
      <c r="A3" s="1" t="s">
        <v>1141</v>
      </c>
    </row>
    <row r="4" customFormat="false" ht="15" hidden="false" customHeight="true" outlineLevel="0" collapsed="false">
      <c r="A4" s="1" t="s">
        <v>1142</v>
      </c>
    </row>
    <row r="5" customFormat="false" ht="15" hidden="false" customHeight="true" outlineLevel="0" collapsed="false">
      <c r="A5" s="1" t="s">
        <v>1143</v>
      </c>
    </row>
    <row r="6" customFormat="false" ht="15" hidden="false" customHeight="true" outlineLevel="0" collapsed="false">
      <c r="A6" s="1" t="s">
        <v>1144</v>
      </c>
    </row>
    <row r="7" customFormat="false" ht="15" hidden="false" customHeight="true" outlineLevel="0" collapsed="false">
      <c r="A7" s="1" t="s">
        <v>1145</v>
      </c>
    </row>
    <row r="8" customFormat="false" ht="15" hidden="false" customHeight="true" outlineLevel="0" collapsed="false">
      <c r="A8" s="1" t="s">
        <v>1146</v>
      </c>
    </row>
    <row r="9" customFormat="false" ht="15" hidden="false" customHeight="true" outlineLevel="0" collapsed="false">
      <c r="A9" s="1" t="s">
        <v>1147</v>
      </c>
    </row>
    <row r="10" customFormat="false" ht="15" hidden="false" customHeight="true" outlineLevel="0" collapsed="false">
      <c r="A10" s="1" t="s">
        <v>1148</v>
      </c>
    </row>
    <row r="11" customFormat="false" ht="15" hidden="false" customHeight="true" outlineLevel="0" collapsed="false">
      <c r="A11" s="1" t="s">
        <v>1149</v>
      </c>
    </row>
    <row r="12" customFormat="false" ht="15" hidden="false" customHeight="true" outlineLevel="0" collapsed="false">
      <c r="A12" s="1" t="s">
        <v>1150</v>
      </c>
    </row>
    <row r="13" customFormat="false" ht="15" hidden="false" customHeight="true" outlineLevel="0" collapsed="false">
      <c r="A13" s="1" t="s">
        <v>1151</v>
      </c>
    </row>
    <row r="14" customFormat="false" ht="15" hidden="false" customHeight="true" outlineLevel="0" collapsed="false">
      <c r="A14" s="1" t="s">
        <v>1152</v>
      </c>
    </row>
    <row r="15" customFormat="false" ht="15" hidden="false" customHeight="true" outlineLevel="0" collapsed="false">
      <c r="A15" s="1" t="s">
        <v>1153</v>
      </c>
    </row>
    <row r="16" customFormat="false" ht="15" hidden="false" customHeight="true" outlineLevel="0" collapsed="false">
      <c r="A16" s="1" t="s">
        <v>1154</v>
      </c>
    </row>
    <row r="17" customFormat="false" ht="15" hidden="false" customHeight="true" outlineLevel="0" collapsed="false">
      <c r="A17" s="1" t="s">
        <v>1155</v>
      </c>
    </row>
    <row r="18" customFormat="false" ht="15" hidden="false" customHeight="true" outlineLevel="0" collapsed="false">
      <c r="A18" s="1" t="s">
        <v>1156</v>
      </c>
    </row>
    <row r="19" customFormat="false" ht="15" hidden="false" customHeight="true" outlineLevel="0" collapsed="false">
      <c r="A19" s="1" t="s">
        <v>1157</v>
      </c>
    </row>
    <row r="20" customFormat="false" ht="15" hidden="false" customHeight="true" outlineLevel="0" collapsed="false">
      <c r="A20" s="1" t="s">
        <v>1158</v>
      </c>
    </row>
    <row r="21" customFormat="false" ht="15" hidden="false" customHeight="true" outlineLevel="0" collapsed="false">
      <c r="A21" s="1" t="s">
        <v>1159</v>
      </c>
    </row>
    <row r="22" customFormat="false" ht="15" hidden="false" customHeight="true" outlineLevel="0" collapsed="false">
      <c r="A22" s="1" t="s">
        <v>1160</v>
      </c>
    </row>
    <row r="23" customFormat="false" ht="15" hidden="false" customHeight="true" outlineLevel="0" collapsed="false">
      <c r="A23" s="1" t="s">
        <v>1161</v>
      </c>
    </row>
    <row r="24" customFormat="false" ht="15" hidden="false" customHeight="true" outlineLevel="0" collapsed="false">
      <c r="A24" s="1" t="s">
        <v>1162</v>
      </c>
    </row>
    <row r="25" customFormat="false" ht="15" hidden="false" customHeight="true" outlineLevel="0" collapsed="false">
      <c r="A25" s="1" t="s">
        <v>1163</v>
      </c>
    </row>
    <row r="26" customFormat="false" ht="15" hidden="false" customHeight="true" outlineLevel="0" collapsed="false">
      <c r="A26" s="1" t="s">
        <v>1164</v>
      </c>
    </row>
    <row r="27" customFormat="false" ht="15" hidden="false" customHeight="true" outlineLevel="0" collapsed="false">
      <c r="A27" s="1" t="s">
        <v>1165</v>
      </c>
    </row>
    <row r="28" customFormat="false" ht="15" hidden="false" customHeight="true" outlineLevel="0" collapsed="false">
      <c r="A28" s="1" t="s">
        <v>1166</v>
      </c>
    </row>
    <row r="29" customFormat="false" ht="15" hidden="false" customHeight="true" outlineLevel="0" collapsed="false">
      <c r="A29" s="1" t="s">
        <v>1167</v>
      </c>
    </row>
    <row r="30" customFormat="false" ht="15" hidden="false" customHeight="true" outlineLevel="0" collapsed="false">
      <c r="A30" s="1" t="s">
        <v>1168</v>
      </c>
    </row>
    <row r="31" customFormat="false" ht="15" hidden="false" customHeight="true" outlineLevel="0" collapsed="false">
      <c r="A31" s="1" t="s">
        <v>1169</v>
      </c>
    </row>
    <row r="32" customFormat="false" ht="15" hidden="false" customHeight="true" outlineLevel="0" collapsed="false">
      <c r="A32" s="1" t="s">
        <v>1170</v>
      </c>
    </row>
    <row r="33" customFormat="false" ht="15" hidden="false" customHeight="true" outlineLevel="0" collapsed="false">
      <c r="A33" s="1" t="s">
        <v>1171</v>
      </c>
    </row>
    <row r="34" customFormat="false" ht="15" hidden="false" customHeight="true" outlineLevel="0" collapsed="false">
      <c r="A34" s="1" t="s">
        <v>1172</v>
      </c>
    </row>
    <row r="35" customFormat="false" ht="15" hidden="false" customHeight="true" outlineLevel="0" collapsed="false">
      <c r="A35" s="1" t="s">
        <v>1173</v>
      </c>
    </row>
    <row r="36" customFormat="false" ht="15" hidden="false" customHeight="true" outlineLevel="0" collapsed="false">
      <c r="A36" s="1" t="s">
        <v>1174</v>
      </c>
    </row>
    <row r="37" customFormat="false" ht="15" hidden="false" customHeight="true" outlineLevel="0" collapsed="false">
      <c r="A37" s="1" t="s">
        <v>1175</v>
      </c>
    </row>
    <row r="38" customFormat="false" ht="15" hidden="false" customHeight="true" outlineLevel="0" collapsed="false">
      <c r="A38" s="1" t="s">
        <v>1176</v>
      </c>
    </row>
    <row r="39" customFormat="false" ht="15" hidden="false" customHeight="true" outlineLevel="0" collapsed="false">
      <c r="A39" s="1" t="s">
        <v>1177</v>
      </c>
    </row>
    <row r="40" customFormat="false" ht="15" hidden="false" customHeight="true" outlineLevel="0" collapsed="false">
      <c r="A40" s="1" t="s">
        <v>1178</v>
      </c>
    </row>
    <row r="41" customFormat="false" ht="15" hidden="false" customHeight="true" outlineLevel="0" collapsed="false">
      <c r="A41" s="1" t="s">
        <v>1179</v>
      </c>
    </row>
    <row r="42" customFormat="false" ht="15" hidden="false" customHeight="true" outlineLevel="0" collapsed="false">
      <c r="A42" s="1" t="s">
        <v>1180</v>
      </c>
    </row>
    <row r="43" customFormat="false" ht="15" hidden="false" customHeight="true" outlineLevel="0" collapsed="false">
      <c r="A43" s="1" t="s">
        <v>1181</v>
      </c>
    </row>
    <row r="44" customFormat="false" ht="15" hidden="false" customHeight="true" outlineLevel="0" collapsed="false">
      <c r="A44" s="1" t="s">
        <v>1182</v>
      </c>
    </row>
    <row r="45" customFormat="false" ht="15" hidden="false" customHeight="true" outlineLevel="0" collapsed="false">
      <c r="A45" s="1" t="s">
        <v>1183</v>
      </c>
    </row>
    <row r="46" customFormat="false" ht="15" hidden="false" customHeight="true" outlineLevel="0" collapsed="false">
      <c r="A46" s="1" t="s">
        <v>1184</v>
      </c>
    </row>
    <row r="47" customFormat="false" ht="15" hidden="false" customHeight="true" outlineLevel="0" collapsed="false">
      <c r="A47" s="1" t="s">
        <v>1185</v>
      </c>
    </row>
    <row r="48" customFormat="false" ht="15" hidden="false" customHeight="true" outlineLevel="0" collapsed="false">
      <c r="A48" s="1" t="s">
        <v>1186</v>
      </c>
    </row>
    <row r="49" customFormat="false" ht="15" hidden="false" customHeight="true" outlineLevel="0" collapsed="false">
      <c r="A49" s="1" t="s">
        <v>1187</v>
      </c>
    </row>
    <row r="50" customFormat="false" ht="15" hidden="false" customHeight="true" outlineLevel="0" collapsed="false">
      <c r="A50" s="1" t="s">
        <v>1188</v>
      </c>
    </row>
    <row r="51" customFormat="false" ht="15" hidden="false" customHeight="true" outlineLevel="0" collapsed="false">
      <c r="A51" s="1" t="s">
        <v>1189</v>
      </c>
    </row>
    <row r="52" customFormat="false" ht="15" hidden="false" customHeight="true" outlineLevel="0" collapsed="false">
      <c r="A52" s="1" t="s">
        <v>1190</v>
      </c>
    </row>
    <row r="53" customFormat="false" ht="15" hidden="false" customHeight="true" outlineLevel="0" collapsed="false">
      <c r="A53" s="1" t="s">
        <v>1191</v>
      </c>
    </row>
    <row r="54" customFormat="false" ht="15" hidden="false" customHeight="true" outlineLevel="0" collapsed="false">
      <c r="A54" s="1" t="s">
        <v>1192</v>
      </c>
    </row>
    <row r="55" customFormat="false" ht="15" hidden="false" customHeight="true" outlineLevel="0" collapsed="false">
      <c r="A55" s="1" t="s">
        <v>1193</v>
      </c>
    </row>
    <row r="56" customFormat="false" ht="15" hidden="false" customHeight="true" outlineLevel="0" collapsed="false">
      <c r="A56" s="1" t="s">
        <v>1194</v>
      </c>
    </row>
    <row r="57" customFormat="false" ht="15" hidden="false" customHeight="true" outlineLevel="0" collapsed="false">
      <c r="A57" s="1" t="s">
        <v>1195</v>
      </c>
    </row>
    <row r="58" customFormat="false" ht="15" hidden="false" customHeight="true" outlineLevel="0" collapsed="false">
      <c r="A58" s="1" t="s">
        <v>1196</v>
      </c>
    </row>
    <row r="59" customFormat="false" ht="15" hidden="false" customHeight="true" outlineLevel="0" collapsed="false">
      <c r="A59" s="1" t="s">
        <v>1197</v>
      </c>
    </row>
    <row r="60" customFormat="false" ht="15" hidden="false" customHeight="true" outlineLevel="0" collapsed="false">
      <c r="A60" s="1" t="s">
        <v>1198</v>
      </c>
    </row>
    <row r="61" customFormat="false" ht="15" hidden="false" customHeight="true" outlineLevel="0" collapsed="false">
      <c r="A61" s="1" t="s">
        <v>1199</v>
      </c>
    </row>
    <row r="62" customFormat="false" ht="15" hidden="false" customHeight="true" outlineLevel="0" collapsed="false">
      <c r="A62" s="1" t="s">
        <v>1200</v>
      </c>
    </row>
    <row r="63" customFormat="false" ht="15" hidden="false" customHeight="true" outlineLevel="0" collapsed="false">
      <c r="A63" s="1" t="s">
        <v>1201</v>
      </c>
    </row>
    <row r="64" customFormat="false" ht="15" hidden="false" customHeight="true" outlineLevel="0" collapsed="false">
      <c r="A64" s="1" t="s">
        <v>1202</v>
      </c>
    </row>
    <row r="65" customFormat="false" ht="15" hidden="false" customHeight="true" outlineLevel="0" collapsed="false">
      <c r="A65" s="1" t="s">
        <v>1203</v>
      </c>
    </row>
    <row r="66" customFormat="false" ht="15" hidden="false" customHeight="true" outlineLevel="0" collapsed="false">
      <c r="A66" s="1" t="s">
        <v>1204</v>
      </c>
    </row>
    <row r="67" customFormat="false" ht="15" hidden="false" customHeight="true" outlineLevel="0" collapsed="false">
      <c r="A67" s="1" t="s">
        <v>1205</v>
      </c>
    </row>
    <row r="68" customFormat="false" ht="15" hidden="false" customHeight="true" outlineLevel="0" collapsed="false">
      <c r="A68" s="1" t="s">
        <v>1206</v>
      </c>
    </row>
    <row r="69" customFormat="false" ht="15" hidden="false" customHeight="true" outlineLevel="0" collapsed="false">
      <c r="A69" s="1" t="s">
        <v>1207</v>
      </c>
    </row>
    <row r="70" customFormat="false" ht="15" hidden="false" customHeight="true" outlineLevel="0" collapsed="false">
      <c r="A70" s="1" t="s">
        <v>1208</v>
      </c>
    </row>
    <row r="71" customFormat="false" ht="15" hidden="false" customHeight="true" outlineLevel="0" collapsed="false">
      <c r="A71" s="1" t="s">
        <v>1209</v>
      </c>
    </row>
    <row r="72" customFormat="false" ht="15" hidden="false" customHeight="true" outlineLevel="0" collapsed="false">
      <c r="A72" s="1" t="s">
        <v>1210</v>
      </c>
    </row>
    <row r="73" customFormat="false" ht="15" hidden="false" customHeight="true" outlineLevel="0" collapsed="false">
      <c r="A73" s="1" t="s">
        <v>1211</v>
      </c>
    </row>
    <row r="74" customFormat="false" ht="15" hidden="false" customHeight="true" outlineLevel="0" collapsed="false">
      <c r="A74" s="1" t="s">
        <v>1212</v>
      </c>
    </row>
    <row r="75" customFormat="false" ht="15" hidden="false" customHeight="true" outlineLevel="0" collapsed="false">
      <c r="A75" s="1" t="s">
        <v>1213</v>
      </c>
    </row>
    <row r="76" customFormat="false" ht="15" hidden="false" customHeight="true" outlineLevel="0" collapsed="false">
      <c r="A76" s="1" t="s">
        <v>1214</v>
      </c>
    </row>
    <row r="77" customFormat="false" ht="15" hidden="false" customHeight="true" outlineLevel="0" collapsed="false">
      <c r="A77" s="1" t="s">
        <v>1215</v>
      </c>
    </row>
    <row r="78" customFormat="false" ht="15" hidden="false" customHeight="true" outlineLevel="0" collapsed="false">
      <c r="A78" s="1" t="s">
        <v>1216</v>
      </c>
    </row>
    <row r="79" customFormat="false" ht="15" hidden="false" customHeight="true" outlineLevel="0" collapsed="false">
      <c r="A79" s="1" t="s">
        <v>1217</v>
      </c>
    </row>
    <row r="80" customFormat="false" ht="15" hidden="false" customHeight="true" outlineLevel="0" collapsed="false">
      <c r="A80" s="1" t="s">
        <v>1218</v>
      </c>
    </row>
    <row r="81" customFormat="false" ht="15" hidden="false" customHeight="true" outlineLevel="0" collapsed="false">
      <c r="A81" s="1" t="s">
        <v>1219</v>
      </c>
    </row>
    <row r="82" customFormat="false" ht="15" hidden="false" customHeight="true" outlineLevel="0" collapsed="false">
      <c r="A82" s="1" t="s">
        <v>1220</v>
      </c>
    </row>
    <row r="83" customFormat="false" ht="15" hidden="false" customHeight="true" outlineLevel="0" collapsed="false">
      <c r="A83" s="1" t="s">
        <v>1221</v>
      </c>
    </row>
    <row r="84" customFormat="false" ht="15" hidden="false" customHeight="true" outlineLevel="0" collapsed="false">
      <c r="A84" s="1" t="s">
        <v>1222</v>
      </c>
    </row>
    <row r="85" customFormat="false" ht="15" hidden="false" customHeight="true" outlineLevel="0" collapsed="false">
      <c r="A85" s="1" t="s">
        <v>1223</v>
      </c>
    </row>
    <row r="86" customFormat="false" ht="15" hidden="false" customHeight="true" outlineLevel="0" collapsed="false">
      <c r="A86" s="1" t="s">
        <v>1224</v>
      </c>
    </row>
    <row r="87" customFormat="false" ht="15" hidden="false" customHeight="true" outlineLevel="0" collapsed="false">
      <c r="A87" s="1" t="s">
        <v>1225</v>
      </c>
    </row>
    <row r="88" customFormat="false" ht="15" hidden="false" customHeight="true" outlineLevel="0" collapsed="false">
      <c r="A88" s="1" t="s">
        <v>1226</v>
      </c>
    </row>
    <row r="89" customFormat="false" ht="15" hidden="false" customHeight="true" outlineLevel="0" collapsed="false">
      <c r="A89" s="1" t="s">
        <v>1227</v>
      </c>
    </row>
    <row r="90" customFormat="false" ht="15" hidden="false" customHeight="true" outlineLevel="0" collapsed="false">
      <c r="A90" s="1" t="s">
        <v>1228</v>
      </c>
    </row>
    <row r="91" customFormat="false" ht="15" hidden="false" customHeight="false" outlineLevel="0" collapsed="false">
      <c r="A91" s="0" t="s">
        <v>1229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2026-09-28T15:04:32Z</dcterms:created>
  <dc:creator>openpyxl</dc:creator>
  <dc:description/>
  <dc:language>en-US</dc:language>
  <cp:lastModifiedBy/>
  <dcterms:modified xsi:type="dcterms:W3CDTF">2026-10-01T14:17:26Z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