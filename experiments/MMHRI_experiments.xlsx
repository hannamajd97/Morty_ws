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riments" sheetId="1" state="visible" r:id="rId2"/>
    <sheet name="Stage times" sheetId="2" state="visible" r:id="rId3"/>
    <sheet name="Conversation" sheetId="3" state="visible" r:id="rId4"/>
    <sheet name="VLA instructions" sheetId="4" state="visible" r:id="rId5"/>
    <sheet name="Summary" sheetId="5" state="visible" r:id="rId6"/>
    <sheet name="Definitions" sheetId="6" state="visible" r:id="rId7"/>
    <sheet name="_trials" sheetId="7" state="hidden" r:id="rId8"/>
  </sheets>
  <definedNames>
    <definedName function="false" hidden="true" localSheetId="2" name="_xlnm._FilterDatabase" vbProcedure="false">Conversation!$A$1:$E$199</definedName>
    <definedName function="false" hidden="true" localSheetId="0" name="_xlnm._FilterDatabase" vbProcedure="false">Experiments!$A$1:$AI$16</definedName>
    <definedName function="false" hidden="true" localSheetId="1" name="_xlnm._FilterDatabase" vbProcedure="false">'Stage times'!$A$2:$AI$18</definedName>
    <definedName function="false" hidden="true" localSheetId="3" name="_xlnm._FilterDatabase" vbProcedure="false">'VLA instructions'!$A$1:$I$46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R1" authorId="0">
      <text>
        <r>
          <rPr>
            <sz val="11"/>
            <color rgb="FF000000"/>
            <rFont val="Calibri"/>
            <family val="2"/>
            <charset val="1"/>
          </rPr>
          <t xml:space="preserve"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      </r>
      </text>
    </comment>
    <comment ref="S1" authorId="0">
      <text>
        <r>
          <rPr>
            <sz val="11"/>
            <color rgb="FF000000"/>
            <rFont val="Calibri"/>
            <family val="2"/>
            <charset val="1"/>
          </rPr>
          <t xml:space="preserve">From the first command (or the pointing choice) to the end of the robot's cycle (back home).</t>
        </r>
      </text>
    </comment>
    <comment ref="U1" authorId="0">
      <text>
        <r>
          <rPr>
            <sz val="11"/>
            <color rgb="FF000000"/>
            <rFont val="Calibri"/>
            <family val="2"/>
            <charset val="1"/>
          </rPr>
          <t xml:space="preserve">voice = the task began with a spoken command; pointing/click = the object was chosen by pointing or a click before anything was said.</t>
        </r>
      </text>
    </comment>
    <comment ref="V1" authorId="0">
      <text>
        <r>
          <rPr>
            <sz val="11"/>
            <color rgb="FF000000"/>
            <rFont val="Calibri"/>
            <family val="2"/>
            <charset val="1"/>
          </rPr>
          <t xml:space="preserve">instant rule = the fixed phrase layer (about 0.01 s); language model = Claude (about 1 s).</t>
        </r>
      </text>
    </comment>
    <comment ref="W1" authorId="0">
      <text>
        <r>
          <rPr>
            <sz val="11"/>
            <color rgb="FF000000"/>
            <rFont val="Calibri"/>
            <family val="2"/>
            <charset val="1"/>
          </rPr>
          <t xml:space="preserve">yes = GraspGen had already computed this object's grasps before the command (precompute); no = it ran after the command, and the operator waited for it.</t>
        </r>
      </text>
    </comment>
    <comment ref="X1" authorId="0">
      <text>
        <r>
          <rPr>
            <sz val="11"/>
            <color rgb="FF000000"/>
            <rFont val="Calibri"/>
            <family val="2"/>
            <charset val="1"/>
          </rPr>
          <t xml:space="preserve">How the approach was planned: curve = the smooth approach path (bend + straight slide); lines = blended straight-line segments, the fallback.</t>
        </r>
      </text>
    </comment>
    <comment ref="Y1" authorId="0">
      <text>
        <r>
          <rPr>
            <sz val="11"/>
            <color rgb="FF000000"/>
            <rFont val="Calibri"/>
            <family val="2"/>
            <charset val="1"/>
          </rPr>
          <t xml:space="preserve">yes = the executor had already verified this grasp could be reached (precheck hit), so it moved at once; no = it checked after the candidates arrived (precheck miss) and the operator waited for it.</t>
        </r>
      </text>
    </comment>
    <comment ref="Z1" authorId="0">
      <text>
        <r>
          <rPr>
            <sz val="11"/>
            <color rgb="FF000000"/>
            <rFont val="Calibri"/>
            <family val="2"/>
            <charset val="1"/>
          </rPr>
          <t xml:space="preserve">Which of the GraspGen candidates was executed ('1 of 26' = the best-ranked one).</t>
        </r>
      </text>
    </comment>
    <comment ref="AA1" authorId="0">
      <text>
        <r>
          <rPr>
            <sz val="11"/>
            <color rgb="FF000000"/>
            <rFont val="Calibri"/>
            <family val="2"/>
            <charset val="1"/>
          </rPr>
          <t xml:space="preserve">The command given → the gripper opened at the destination.</t>
        </r>
      </text>
    </comment>
    <comment ref="AB1" authorId="0">
      <text>
        <r>
          <rPr>
            <sz val="11"/>
            <color rgb="FF000000"/>
            <rFont val="Calibri"/>
            <family val="2"/>
            <charset val="1"/>
          </rPr>
          <t xml:space="preserve">Time Morty waited for the operator: at 'Where should I drop it?', 'Should I open the gripper?' and 'Should I go back home?'.</t>
        </r>
      </text>
    </comment>
    <comment ref="AC1" authorId="0">
      <text>
        <r>
          <rPr>
            <sz val="11"/>
            <color rgb="FF000000"/>
            <rFont val="Calibri"/>
            <family val="2"/>
            <charset val="1"/>
          </rPr>
          <t xml:space="preserve">Total time minus the time Morty waited for the operator.</t>
        </r>
      </text>
    </comment>
    <comment ref="AD1" authorId="0">
      <text>
        <r>
          <rPr>
            <sz val="11"/>
            <color rgb="FF000000"/>
            <rFont val="Calibri"/>
            <family val="2"/>
            <charset val="1"/>
          </rPr>
          <t xml:space="preserve">final = rebuilt from exact event times after the trial (the messages' own stamps, else the earliest recorder); preliminary = the window's own times at ⏹ (can be late under load).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2" authorId="0">
      <text>
        <r>
          <rPr>
            <sz val="11"/>
            <color rgb="FF000000"/>
            <rFont val="Calibri"/>
            <family val="2"/>
            <charset val="1"/>
          </rPr>
          <t xml:space="preserve">voice = the task began with a spoken command; pointing/click = the object was chosen by pointing or a click before anything was said.</t>
        </r>
      </text>
    </comment>
    <comment ref="F2" authorId="0">
      <text>
        <r>
          <rPr>
            <sz val="11"/>
            <color rgb="FF000000"/>
            <rFont val="Calibri"/>
            <family val="2"/>
            <charset val="1"/>
          </rPr>
          <t xml:space="preserve">The end-of-speech wait (0.5-0.8 s, to be sure you finished) plus speech recognition.</t>
        </r>
      </text>
    </comment>
    <comment ref="G2" authorId="0">
      <text>
        <r>
          <rPr>
            <sz val="11"/>
            <color rgb="FF000000"/>
            <rFont val="Calibri"/>
            <family val="2"/>
            <charset val="1"/>
          </rPr>
          <t xml:space="preserve">The end of the operator's voice → the robot command for that sentence.</t>
        </r>
      </text>
    </comment>
    <comment ref="H2" authorId="0">
      <text>
        <r>
          <rPr>
            <sz val="11"/>
            <color rgb="FF000000"/>
            <rFont val="Calibri"/>
            <family val="2"/>
            <charset val="1"/>
          </rPr>
          <t xml:space="preserve">The accepted transcript that caused the command → the command.</t>
        </r>
      </text>
    </comment>
    <comment ref="I2" authorId="0">
      <text>
        <r>
          <rPr>
            <sz val="11"/>
            <color rgb="FF000000"/>
            <rFont val="Calibri"/>
            <family val="2"/>
            <charset val="1"/>
          </rPr>
          <t xml:space="preserve">instant rule = the fixed phrase layer (about 0.01 s); language model = Claude (about 1 s).</t>
        </r>
      </text>
    </comment>
    <comment ref="J2" authorId="0">
      <text>
        <r>
          <rPr>
            <sz val="11"/>
            <color rgb="FF000000"/>
            <rFont val="Calibri"/>
            <family val="2"/>
            <charset val="1"/>
          </rPr>
          <t xml:space="preserve">The first command → the pipeline committing the object. Includes a clarification dialogue ('which one?') or the pointing, and handing the object's name to the pipeline.</t>
        </r>
      </text>
    </comment>
    <comment ref="K2" authorId="0">
      <text>
        <r>
          <rPr>
            <sz val="11"/>
            <color rgb="FF000000"/>
            <rFont val="Calibri"/>
            <family val="2"/>
            <charset val="1"/>
          </rPr>
          <t xml:space="preserve">The committed choice → grasp candidates published (capture, segmentation, the stored-grasp lookup, or GraspGen when nothing was stored).</t>
        </r>
      </text>
    </comment>
    <comment ref="L2" authorId="0">
      <text>
        <r>
          <rPr>
            <sz val="11"/>
            <color rgb="FF000000"/>
            <rFont val="Calibri"/>
            <family val="2"/>
            <charset val="1"/>
          </rPr>
          <t xml:space="preserve">yes = GraspGen had already computed this object's grasps before the command (precompute); no = it ran after the command, and the operator waited for it.</t>
        </r>
      </text>
    </comment>
    <comment ref="M2" authorId="0">
      <text>
        <r>
          <rPr>
            <sz val="11"/>
            <color rgb="FF000000"/>
            <rFont val="Calibri"/>
            <family val="2"/>
            <charset val="1"/>
          </rPr>
          <t xml:space="preserve">Duration of the GraspGen run whose grasps the robot executed.</t>
        </r>
      </text>
    </comment>
    <comment ref="N2" authorId="0">
      <text>
        <r>
          <rPr>
            <sz val="11"/>
            <color rgb="FF000000"/>
            <rFont val="Calibri"/>
            <family val="2"/>
            <charset val="1"/>
          </rPr>
          <t xml:space="preserve">How much of that run the operator actually waited for (0 = ready before).</t>
        </r>
      </text>
    </comment>
    <comment ref="O2" authorId="0">
      <text>
        <r>
          <rPr>
            <sz val="11"/>
            <color rgb="FF000000"/>
            <rFont val="Calibri"/>
            <family val="2"/>
            <charset val="1"/>
          </rPr>
          <t xml:space="preserve">How long before the choice the grasps were ready.</t>
        </r>
      </text>
    </comment>
    <comment ref="P2" authorId="0">
      <text>
        <r>
          <rPr>
            <sz val="11"/>
            <color rgb="FF000000"/>
            <rFont val="Calibri"/>
            <family val="2"/>
            <charset val="1"/>
          </rPr>
          <t xml:space="preserve">How the approach was planned: curve = the smooth approach path (bend + straight slide); lines = blended straight-line segments, the fallback.</t>
        </r>
      </text>
    </comment>
    <comment ref="Q2" authorId="0">
      <text>
        <r>
          <rPr>
            <sz val="11"/>
            <color rgb="FF000000"/>
            <rFont val="Calibri"/>
            <family val="2"/>
            <charset val="1"/>
          </rPr>
          <t xml:space="preserve">yes = the executor had already verified this grasp could be reached (precheck hit), so it moved at once; no = it checked after the candidates arrived (precheck miss) and the operator waited for it.</t>
        </r>
      </text>
    </comment>
    <comment ref="R2" authorId="0">
      <text>
        <r>
          <rPr>
            <sz val="11"/>
            <color rgb="FF000000"/>
            <rFont val="Calibri"/>
            <family val="2"/>
            <charset val="1"/>
          </rPr>
          <t xml:space="preserve">Time to verify the plan: the background probe (when checked in the background) or the probe after the candidates arrived.</t>
        </r>
      </text>
    </commen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What the operator actually waited in the executor, from the candidates to moving.</t>
        </r>
      </text>
    </comment>
    <comment ref="T2" authorId="0">
      <text>
        <r>
          <rPr>
            <sz val="11"/>
            <color rgb="FF000000"/>
            <rFont val="Calibri"/>
            <family val="2"/>
            <charset val="1"/>
          </rPr>
          <t xml:space="preserve">Which of the GraspGen candidates was executed ('1 of 26' = the best-ranked one).</t>
        </r>
      </text>
    </comment>
    <comment ref="U2" authorId="0">
      <text>
        <r>
          <rPr>
            <sz val="11"/>
            <color rgb="FF000000"/>
            <rFont val="Calibri"/>
            <family val="2"/>
            <charset val="1"/>
          </rPr>
          <t xml:space="preserve">How many candidates the executor probed before executing one.</t>
        </r>
      </text>
    </comment>
    <comment ref="AA2" authorId="0">
      <text>
        <r>
          <rPr>
            <sz val="11"/>
            <color rgb="FF000000"/>
            <rFont val="Calibri"/>
            <family val="2"/>
            <charset val="1"/>
          </rPr>
          <t xml:space="preserve">The command given → the gripper opened at the destination.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Time Morty waited for the operator: at 'Where should I drop it?', 'Should I open the gripper?' and 'Should I go back home?'.</t>
        </r>
      </text>
    </comment>
    <comment ref="AC2" authorId="0">
      <text>
        <r>
          <rPr>
            <sz val="11"/>
            <color rgb="FF000000"/>
            <rFont val="Calibri"/>
            <family val="2"/>
            <charset val="1"/>
          </rPr>
          <t xml:space="preserve">Total time minus the time Morty waited for the operator.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final = rebuilt from exact event times after the trial (the messages' own stamps, else the earliest recorder); preliminary = the window's own times at ⏹ (can be late under load).</t>
        </r>
      </text>
    </comment>
  </commentList>
</comments>
</file>

<file path=xl/sharedStrings.xml><?xml version="1.0" encoding="utf-8"?>
<sst xmlns="http://schemas.openxmlformats.org/spreadsheetml/2006/main" count="1738" uniqueCount="365">
  <si>
    <t xml:space="preserve">Trial ID</t>
  </si>
  <si>
    <t xml:space="preserve">Date</t>
  </si>
  <si>
    <t xml:space="preserve">Task ID</t>
  </si>
  <si>
    <t xml:space="preserve">Scene Layout</t>
  </si>
  <si>
    <t xml:space="preserve">Scenario ID</t>
  </si>
  <si>
    <t xml:space="preserve">Scenario</t>
  </si>
  <si>
    <t xml:space="preserve">Level</t>
  </si>
  <si>
    <t xml:space="preserve">Modifiers</t>
  </si>
  <si>
    <t xml:space="preserve">Command Used</t>
  </si>
  <si>
    <t xml:space="preserve">Intended Target</t>
  </si>
  <si>
    <t xml:space="preserve">Intended Destination</t>
  </si>
  <si>
    <t xml:space="preserve">User Intent understood correctly?</t>
  </si>
  <si>
    <t xml:space="preserve">Object Detected?</t>
  </si>
  <si>
    <t xml:space="preserve">Correct Object Selected?</t>
  </si>
  <si>
    <t xml:space="preserve">Grasp Success?</t>
  </si>
  <si>
    <t xml:space="preserve">Action Executed Correctly?</t>
  </si>
  <si>
    <t xml:space="preserve">Full Task Success?</t>
  </si>
  <si>
    <t xml:space="preserve">Interaction Time (s)</t>
  </si>
  <si>
    <t xml:space="preserve">Total Time (s)</t>
  </si>
  <si>
    <t xml:space="preserve">Failure Category / Notes</t>
  </si>
  <si>
    <t xml:space="preserve">Started by</t>
  </si>
  <si>
    <t xml:space="preserve">Understood by</t>
  </si>
  <si>
    <t xml:space="preserve">GraspGen in background?</t>
  </si>
  <si>
    <t xml:space="preserve">Execution plan</t>
  </si>
  <si>
    <t xml:space="preserve">Plan checked in background?</t>
  </si>
  <si>
    <t xml:space="preserve">Grasp executed</t>
  </si>
  <si>
    <t xml:space="preserve">Command → object handed over (s)</t>
  </si>
  <si>
    <t xml:space="preserve">Waiting for your answers (s)</t>
  </si>
  <si>
    <t xml:space="preserve">Robot time (s)</t>
  </si>
  <si>
    <t xml:space="preserve">Times</t>
  </si>
  <si>
    <t xml:space="preserve">VLA task</t>
  </si>
  <si>
    <t xml:space="preserve">VLA outcome</t>
  </si>
  <si>
    <t xml:space="preserve">Folder</t>
  </si>
  <si>
    <t xml:space="preserve">Viewer</t>
  </si>
  <si>
    <t xml:space="preserve">Video</t>
  </si>
  <si>
    <t xml:space="preserve">086</t>
  </si>
  <si>
    <t xml:space="preserve">2026-09-28</t>
  </si>
  <si>
    <t xml:space="preserve">Layout A</t>
  </si>
  <si>
    <t xml:space="preserve">S1</t>
  </si>
  <si>
    <t xml:space="preserve">S1: Available objects — no physical action</t>
  </si>
  <si>
    <t xml:space="preserve">L1 single-step, explicit</t>
  </si>
  <si>
    <t xml:space="preserve">What do you see on the table?</t>
  </si>
  <si>
    <t xml:space="preserve">voice</t>
  </si>
  <si>
    <t xml:space="preserve">final</t>
  </si>
  <si>
    <t xml:space="preserve">trial_086_LA_S1</t>
  </si>
  <si>
    <t xml:space="preserve">video</t>
  </si>
  <si>
    <t xml:space="preserve">087</t>
  </si>
  <si>
    <t xml:space="preserve">S2</t>
  </si>
  <si>
    <t xml:space="preserve">S2: Object NOT in scene ('give me the book')</t>
  </si>
  <si>
    <t xml:space="preserve">Give me the book, Morty.</t>
  </si>
  <si>
    <t xml:space="preserve">tape_dispenser</t>
  </si>
  <si>
    <t xml:space="preserve">—</t>
  </si>
  <si>
    <t xml:space="preserve">trial_087_LA_S2</t>
  </si>
  <si>
    <t xml:space="preserve">088</t>
  </si>
  <si>
    <t xml:space="preserve">S3</t>
  </si>
  <si>
    <t xml:space="preserve">S3: One of a kind among others — ask for it</t>
  </si>
  <si>
    <t xml:space="preserve">Grasp for me the tape dispenser.</t>
  </si>
  <si>
    <t xml:space="preserve">drop_right</t>
  </si>
  <si>
    <t xml:space="preserve">yes</t>
  </si>
  <si>
    <t xml:space="preserve">instant rule</t>
  </si>
  <si>
    <t xml:space="preserve">curve</t>
  </si>
  <si>
    <t xml:space="preserve">1 of 26</t>
  </si>
  <si>
    <t xml:space="preserve">pick up the tape dispenser</t>
  </si>
  <si>
    <t xml:space="preserve">success</t>
  </si>
  <si>
    <t xml:space="preserve">trial_088_LA_S3</t>
  </si>
  <si>
    <t xml:space="preserve">viewer</t>
  </si>
  <si>
    <t xml:space="preserve">089</t>
  </si>
  <si>
    <t xml:space="preserve">S4</t>
  </si>
  <si>
    <t xml:space="preserve">S4: Two same kind — clarify by words (left/right/colour)</t>
  </si>
  <si>
    <t xml:space="preserve">Grasp for me the vitamin tube.</t>
  </si>
  <si>
    <t xml:space="preserve">vitamin_c</t>
  </si>
  <si>
    <t xml:space="preserve">drop_left</t>
  </si>
  <si>
    <t xml:space="preserve">1 of 11</t>
  </si>
  <si>
    <t xml:space="preserve">pick up the leftmost vitamin tube</t>
  </si>
  <si>
    <t xml:space="preserve">trial_089_LA_S4</t>
  </si>
  <si>
    <t xml:space="preserve">090</t>
  </si>
  <si>
    <t xml:space="preserve">S5</t>
  </si>
  <si>
    <t xml:space="preserve">S5: Two same kind — clarify by pointing</t>
  </si>
  <si>
    <t xml:space="preserve">vitamin_B12</t>
  </si>
  <si>
    <t xml:space="preserve">3 of 24</t>
  </si>
  <si>
    <t xml:space="preserve">pick up the vitamin tube</t>
  </si>
  <si>
    <t xml:space="preserve">trial_090_LA_S5</t>
  </si>
  <si>
    <t xml:space="preserve">091</t>
  </si>
  <si>
    <t xml:space="preserve">M1</t>
  </si>
  <si>
    <t xml:space="preserve">Drop it on the right side.</t>
  </si>
  <si>
    <t xml:space="preserve">pointing/click</t>
  </si>
  <si>
    <t xml:space="preserve">1 of 25</t>
  </si>
  <si>
    <t xml:space="preserve">trial_091_LA_S5</t>
  </si>
  <si>
    <t xml:space="preserve">092</t>
  </si>
  <si>
    <t xml:space="preserve">Morty, could you please tell me which objects you can pick up right now?</t>
  </si>
  <si>
    <t xml:space="preserve">trial_092_LA_S1</t>
  </si>
  <si>
    <t xml:space="preserve">093</t>
  </si>
  <si>
    <t xml:space="preserve">Could you please bring me my phone?</t>
  </si>
  <si>
    <t xml:space="preserve">phone</t>
  </si>
  <si>
    <t xml:space="preserve">trial_093_LA_S2</t>
  </si>
  <si>
    <t xml:space="preserve">095</t>
  </si>
  <si>
    <t xml:space="preserve">Could you slowly bring me the small bottle, please?</t>
  </si>
  <si>
    <t xml:space="preserve">small_bottle</t>
  </si>
  <si>
    <t xml:space="preserve">language model</t>
  </si>
  <si>
    <t xml:space="preserve">3 of 18</t>
  </si>
  <si>
    <t xml:space="preserve">pick up the small bottle</t>
  </si>
  <si>
    <t xml:space="preserve">trial_095_LA_S3</t>
  </si>
  <si>
    <t xml:space="preserve">097</t>
  </si>
  <si>
    <t xml:space="preserve">Get me the vitamin tube.</t>
  </si>
  <si>
    <t xml:space="preserve">no</t>
  </si>
  <si>
    <t xml:space="preserve">1 of 24</t>
  </si>
  <si>
    <t xml:space="preserve">trial_097_LA_S5</t>
  </si>
  <si>
    <t xml:space="preserve">096</t>
  </si>
  <si>
    <t xml:space="preserve">home</t>
  </si>
  <si>
    <t xml:space="preserve">2 of 25</t>
  </si>
  <si>
    <t xml:space="preserve">pick up the rightmost vitamin tube</t>
  </si>
  <si>
    <t xml:space="preserve">trial_096_LA_S4</t>
  </si>
  <si>
    <t xml:space="preserve">099</t>
  </si>
  <si>
    <t xml:space="preserve">Can you give me the small bottle?</t>
  </si>
  <si>
    <t xml:space="preserve">2 of 13</t>
  </si>
  <si>
    <t xml:space="preserve">trial_099_LA_S3</t>
  </si>
  <si>
    <t xml:space="preserve">100</t>
  </si>
  <si>
    <t xml:space="preserve">I need a tape dispenser.</t>
  </si>
  <si>
    <t xml:space="preserve">5 of 17</t>
  </si>
  <si>
    <t xml:space="preserve">trial_100_LA_S3</t>
  </si>
  <si>
    <t xml:space="preserve">101</t>
  </si>
  <si>
    <t xml:space="preserve">M3</t>
  </si>
  <si>
    <t xml:space="preserve">Give me the vitamin tube.</t>
  </si>
  <si>
    <t xml:space="preserve">1 of 16</t>
  </si>
  <si>
    <t xml:space="preserve">trial_101_LA_S4</t>
  </si>
  <si>
    <t xml:space="preserve">105</t>
  </si>
  <si>
    <t xml:space="preserve">Tell me Morty, what kind of object are you seeing right now?</t>
  </si>
  <si>
    <t xml:space="preserve">trial_105_LA_S1</t>
  </si>
  <si>
    <t xml:space="preserve">Interaction</t>
  </si>
  <si>
    <t xml:space="preserve">Voice</t>
  </si>
  <si>
    <t xml:space="preserve">Choice</t>
  </si>
  <si>
    <t xml:space="preserve">Perception</t>
  </si>
  <si>
    <t xml:space="preserve">GraspGen</t>
  </si>
  <si>
    <t xml:space="preserve">Motion</t>
  </si>
  <si>
    <t xml:space="preserve">Totals</t>
  </si>
  <si>
    <t xml:space="preserve">Dialogue</t>
  </si>
  <si>
    <t xml:space="preserve">Interaction Time: command given → arm starts moving (s)</t>
  </si>
  <si>
    <t xml:space="preserve">End of your voice → transcript (s)</t>
  </si>
  <si>
    <t xml:space="preserve">You stopped speaking → command (s)</t>
  </si>
  <si>
    <t xml:space="preserve">Understanding: transcript → command (s)</t>
  </si>
  <si>
    <t xml:space="preserve">Command → object chosen, incl. clarification (s)</t>
  </si>
  <si>
    <t xml:space="preserve">Object chosen → grasp candidates (s)</t>
  </si>
  <si>
    <t xml:space="preserve">GraspGen compute (s)</t>
  </si>
  <si>
    <t xml:space="preserve">GraspGen waited for after the choice (s)</t>
  </si>
  <si>
    <t xml:space="preserve">GraspGen ready before the choice (s)</t>
  </si>
  <si>
    <t xml:space="preserve">Plan compute (s)</t>
  </si>
  <si>
    <t xml:space="preserve">Candidates → motion start (s)</t>
  </si>
  <si>
    <t xml:space="preserve">Grasps checked</t>
  </si>
  <si>
    <t xml:space="preserve">Approach (s)</t>
  </si>
  <si>
    <t xml:space="preserve">Arrival → grasp verdict (s)</t>
  </si>
  <si>
    <t xml:space="preserve">Waiting for the drop side (s)</t>
  </si>
  <si>
    <t xml:space="preserve">Transport to the drop (s)</t>
  </si>
  <si>
    <t xml:space="preserve">Motion start → home (s)</t>
  </si>
  <si>
    <t xml:space="preserve">Total (s)</t>
  </si>
  <si>
    <t xml:space="preserve">Morty's questions</t>
  </si>
  <si>
    <t xml:space="preserve">Your sentences</t>
  </si>
  <si>
    <t xml:space="preserve">Path</t>
  </si>
  <si>
    <t xml:space="preserve">Window was late by, max (s)</t>
  </si>
  <si>
    <t xml:space="preserve">precomputed</t>
  </si>
  <si>
    <t xml:space="preserve">094</t>
  </si>
  <si>
    <t xml:space="preserve">1 of 20</t>
  </si>
  <si>
    <t xml:space="preserve">t in trial (s)</t>
  </si>
  <si>
    <t xml:space="preserve">Who</t>
  </si>
  <si>
    <t xml:space="preserve">Text</t>
  </si>
  <si>
    <t xml:space="preserve">You</t>
  </si>
  <si>
    <t xml:space="preserve">Morty</t>
  </si>
  <si>
    <t xml:space="preserve">I see a Vitamin C, a tape dispenser, a small bottle, and a Vitamin B12.</t>
  </si>
  <si>
    <t xml:space="preserve">I don't see a book on the table.</t>
  </si>
  <si>
    <t xml:space="preserve">Would you like me to pick one of those instead?</t>
  </si>
  <si>
    <t xml:space="preserve">Robot command</t>
  </si>
  <si>
    <t xml:space="preserve">pick tape dispenser</t>
  </si>
  <si>
    <t xml:space="preserve">Starting grasp on the tape dispenser.</t>
  </si>
  <si>
    <t xml:space="preserve">Got the tape dispenser. Where should I drop it? Left, right, or home?</t>
  </si>
  <si>
    <t xml:space="preserve">Going to drop right.</t>
  </si>
  <si>
    <t xml:space="preserve">I'm at the drop right position, still holding the tape dispenser. Should I open the gripper?</t>
  </si>
  <si>
    <t xml:space="preserve">Yes, open the gripper.</t>
  </si>
  <si>
    <t xml:space="preserve">open_gripper</t>
  </si>
  <si>
    <t xml:space="preserve">Opening the gripper.</t>
  </si>
  <si>
    <t xml:space="preserve">Should I go back home?</t>
  </si>
  <si>
    <t xml:space="preserve">Yes, go back home.</t>
  </si>
  <si>
    <t xml:space="preserve">go_home</t>
  </si>
  <si>
    <t xml:space="preserve">Going home.</t>
  </si>
  <si>
    <t xml:space="preserve">Done — I'm back at the home position. What's next?</t>
  </si>
  <si>
    <t xml:space="preserve">pick vitamin tube</t>
  </si>
  <si>
    <t xml:space="preserve">I see two vitamin tubes. Could you say leftmost or rightmost, or point at the one you want?</t>
  </si>
  <si>
    <t xml:space="preserve">Leftmost vitamin tube.</t>
  </si>
  <si>
    <t xml:space="preserve">pick vitamin tube position=leftmost</t>
  </si>
  <si>
    <t xml:space="preserve">Picking the leftmost Vitamin C.</t>
  </si>
  <si>
    <t xml:space="preserve">Starting grasp on the vitamin tube.</t>
  </si>
  <si>
    <t xml:space="preserve">Got the vitamin tube. Where should I drop it? Left, right, or home?</t>
  </si>
  <si>
    <t xml:space="preserve">Drop it on the left side.</t>
  </si>
  <si>
    <t xml:space="preserve">Going to drop left.</t>
  </si>
  <si>
    <t xml:space="preserve">I'm at the drop left position, still holding the vitamin tube. Should I open the gripper?</t>
  </si>
  <si>
    <t xml:space="preserve">Yes, open the gripper, give me the object.</t>
  </si>
  <si>
    <t xml:space="preserve">I'm at the drop right position, still holding the vitamin tube. Should I open the gripper?</t>
  </si>
  <si>
    <t xml:space="preserve">Yes, opens the gripper.</t>
  </si>
  <si>
    <t xml:space="preserve">Go back home.</t>
  </si>
  <si>
    <t xml:space="preserve">Open the gripper, give me the objects and go back home.</t>
  </si>
  <si>
    <t xml:space="preserve">open_gripper then=release_home</t>
  </si>
  <si>
    <t xml:space="preserve">I can see a tape dispenser on the left, a small bottle in the middle, and a Vitamin B12 on the right.</t>
  </si>
  <si>
    <t xml:space="preserve">I don't see a phone on the table — only a tape dispenser, a small bottle, and a Vitamin B12.</t>
  </si>
  <si>
    <t xml:space="preserve">I can pick any of those if you'd like!</t>
  </si>
  <si>
    <t xml:space="preserve">pick small bottle</t>
  </si>
  <si>
    <t xml:space="preserve">Starting grasp on the small bottle.</t>
  </si>
  <si>
    <t xml:space="preserve">Got the small bottle. Where should I drop it? Left, right, or home?</t>
  </si>
  <si>
    <t xml:space="preserve">Drop it home.</t>
  </si>
  <si>
    <t xml:space="preserve">Go home.</t>
  </si>
  <si>
    <t xml:space="preserve">I'm at the home position, still holding the small bottle. Should I open the gripper?</t>
  </si>
  <si>
    <t xml:space="preserve">Open the gripper.</t>
  </si>
  <si>
    <t xml:space="preserve">I'm at the home position. What's next?</t>
  </si>
  <si>
    <t xml:space="preserve">I'm at the drop left position, still holding the small bottle. Should I open the gripper?</t>
  </si>
  <si>
    <t xml:space="preserve">Yes, open the gripper, go back home.</t>
  </si>
  <si>
    <t xml:space="preserve">release_home</t>
  </si>
  <si>
    <t xml:space="preserve">The right most vitamin tube.</t>
  </si>
  <si>
    <t xml:space="preserve">pick vitamin tube position=rightmost</t>
  </si>
  <si>
    <t xml:space="preserve">Picking the rightmost Vitamin B12.</t>
  </si>
  <si>
    <t xml:space="preserve">I'm at the home position, still holding the vitamin tube. Should I open the gripper?</t>
  </si>
  <si>
    <t xml:space="preserve">Right.</t>
  </si>
  <si>
    <t xml:space="preserve">I'm at the drop right position, still holding the small bottle. Should I open the gripper?</t>
  </si>
  <si>
    <t xml:space="preserve">Yeah.</t>
  </si>
  <si>
    <t xml:space="preserve">Give it to me.</t>
  </si>
  <si>
    <t xml:space="preserve">The bottle is already on the right side—you can grab it from there.</t>
  </si>
  <si>
    <t xml:space="preserve">Let's go back home.</t>
  </si>
  <si>
    <t xml:space="preserve">Home.</t>
  </si>
  <si>
    <t xml:space="preserve">I'm at the home position, still holding the tape dispenser. Should I open the gripper?</t>
  </si>
  <si>
    <t xml:space="preserve">Yes.</t>
  </si>
  <si>
    <t xml:space="preserve">Give me the left one.</t>
  </si>
  <si>
    <t xml:space="preserve">Left or right?</t>
  </si>
  <si>
    <t xml:space="preserve">Left.</t>
  </si>
  <si>
    <t xml:space="preserve">Picking the leftmost Vitamin B12.</t>
  </si>
  <si>
    <t xml:space="preserve">Uh, right.</t>
  </si>
  <si>
    <t xml:space="preserve">Não.</t>
  </si>
  <si>
    <t xml:space="preserve">close_gripper</t>
  </si>
  <si>
    <t xml:space="preserve">Okay, I'll keep holding it. Where should I take it?</t>
  </si>
  <si>
    <t xml:space="preserve">No, sorry, go to the left.</t>
  </si>
  <si>
    <t xml:space="preserve">pies</t>
  </si>
  <si>
    <t xml:space="preserve">I'm not sure what you mean—what would you like me to do?</t>
  </si>
  <si>
    <t xml:space="preserve">Yeah, I was thinking still very hard to make it right with the mold. I think.</t>
  </si>
  <si>
    <t xml:space="preserve">I hear you—what would you like me to do next?</t>
  </si>
  <si>
    <t xml:space="preserve">I see a Vitamin B12, a tape dispenser, a small bottle, and a Vitamin C.</t>
  </si>
  <si>
    <t xml:space="preserve">#</t>
  </si>
  <si>
    <t xml:space="preserve">Starts at t (s)</t>
  </si>
  <si>
    <t xml:space="preserve">Instruction</t>
  </si>
  <si>
    <t xml:space="preserve">Said / from</t>
  </si>
  <si>
    <t xml:space="preserve">Action</t>
  </si>
  <si>
    <t xml:space="preserve">Steps</t>
  </si>
  <si>
    <t xml:space="preserve">Superseded</t>
  </si>
  <si>
    <t xml:space="preserve">pick</t>
  </si>
  <si>
    <t xml:space="preserve">41–204</t>
  </si>
  <si>
    <t xml:space="preserve">drop it on the right side</t>
  </si>
  <si>
    <t xml:space="preserve">205–345</t>
  </si>
  <si>
    <t xml:space="preserve">open the gripper</t>
  </si>
  <si>
    <t xml:space="preserve">346–435</t>
  </si>
  <si>
    <t xml:space="preserve">go back home</t>
  </si>
  <si>
    <t xml:space="preserve">436–496</t>
  </si>
  <si>
    <t xml:space="preserve">211–345</t>
  </si>
  <si>
    <t xml:space="preserve">drop it on the left side</t>
  </si>
  <si>
    <t xml:space="preserve">346–467</t>
  </si>
  <si>
    <t xml:space="preserve">468–563</t>
  </si>
  <si>
    <t xml:space="preserve">564–611</t>
  </si>
  <si>
    <t xml:space="preserve">36–257</t>
  </si>
  <si>
    <t xml:space="preserve">258–395</t>
  </si>
  <si>
    <t xml:space="preserve">396–475</t>
  </si>
  <si>
    <t xml:space="preserve">476–536</t>
  </si>
  <si>
    <t xml:space="preserve">(pointing)</t>
  </si>
  <si>
    <t xml:space="preserve">0–276</t>
  </si>
  <si>
    <t xml:space="preserve">277–438</t>
  </si>
  <si>
    <t xml:space="preserve">439–525</t>
  </si>
  <si>
    <t xml:space="preserve">78–320</t>
  </si>
  <si>
    <t xml:space="preserve">321–335</t>
  </si>
  <si>
    <t xml:space="preserve">336–477</t>
  </si>
  <si>
    <t xml:space="preserve">478–523</t>
  </si>
  <si>
    <t xml:space="preserve">78–223</t>
  </si>
  <si>
    <t xml:space="preserve">224–344</t>
  </si>
  <si>
    <t xml:space="preserve">345–416</t>
  </si>
  <si>
    <t xml:space="preserve">417–465</t>
  </si>
  <si>
    <t xml:space="preserve">71–285</t>
  </si>
  <si>
    <t xml:space="preserve">286–422</t>
  </si>
  <si>
    <t xml:space="preserve">open the gripper and go back home</t>
  </si>
  <si>
    <t xml:space="preserve">423–507</t>
  </si>
  <si>
    <t xml:space="preserve">152–272</t>
  </si>
  <si>
    <t xml:space="preserve">273–416</t>
  </si>
  <si>
    <t xml:space="preserve">417–460</t>
  </si>
  <si>
    <t xml:space="preserve">78–201</t>
  </si>
  <si>
    <t xml:space="preserve">202–308</t>
  </si>
  <si>
    <t xml:space="preserve">309–444</t>
  </si>
  <si>
    <t xml:space="preserve">445–504</t>
  </si>
  <si>
    <t xml:space="preserve">142–294</t>
  </si>
  <si>
    <t xml:space="preserve">295–425</t>
  </si>
  <si>
    <t xml:space="preserve">426–470</t>
  </si>
  <si>
    <t xml:space="preserve">290–427</t>
  </si>
  <si>
    <t xml:space="preserve">428–542</t>
  </si>
  <si>
    <t xml:space="preserve">close the gripper</t>
  </si>
  <si>
    <t xml:space="preserve">543–569</t>
  </si>
  <si>
    <t xml:space="preserve">570–708</t>
  </si>
  <si>
    <t xml:space="preserve">709–887</t>
  </si>
  <si>
    <t xml:space="preserve">888–938</t>
  </si>
  <si>
    <t xml:space="preserve">MMHRI experiments — summary per scenario</t>
  </si>
  <si>
    <t xml:space="preserve">Formulas over the Experiments sheet (9 trials). Success rate = Full Task Success yes / (yes + no); averages ignore empty cells.</t>
  </si>
  <si>
    <t xml:space="preserve">Trials</t>
  </si>
  <si>
    <t xml:space="preserve">Full task success: yes</t>
  </si>
  <si>
    <t xml:space="preserve">Full task success: no</t>
  </si>
  <si>
    <t xml:space="preserve">Success rate</t>
  </si>
  <si>
    <t xml:space="preserve">Grasp success: yes</t>
  </si>
  <si>
    <t xml:space="preserve">Avg Interaction Time (s)</t>
  </si>
  <si>
    <t xml:space="preserve">Avg total time (s)</t>
  </si>
  <si>
    <t xml:space="preserve">Avg robot time (s)</t>
  </si>
  <si>
    <t xml:space="preserve">Avg waiting for your answers (s)</t>
  </si>
  <si>
    <t xml:space="preserve">Available objects — no physical action</t>
  </si>
  <si>
    <t xml:space="preserve">Object NOT in scene ('give me the book')</t>
  </si>
  <si>
    <t xml:space="preserve">One of a kind among others — ask for it</t>
  </si>
  <si>
    <t xml:space="preserve">Two same kind — clarify by words (left/right/colour)</t>
  </si>
  <si>
    <t xml:space="preserve">Two same kind — clarify by pointing</t>
  </si>
  <si>
    <t xml:space="preserve">S6</t>
  </si>
  <si>
    <t xml:space="preserve">Pointing only (with confirmation)</t>
  </si>
  <si>
    <t xml:space="preserve">S7</t>
  </si>
  <si>
    <t xml:space="preserve">Moving without grasping</t>
  </si>
  <si>
    <t xml:space="preserve">All</t>
  </si>
  <si>
    <t xml:space="preserve">Trials per scenario and layout</t>
  </si>
  <si>
    <t xml:space="preserve">Column / item</t>
  </si>
  <si>
    <t xml:space="preserve">Meaning</t>
  </si>
  <si>
    <t xml:space="preserve">Where the data comes from</t>
  </si>
  <si>
    <t xml:space="preserve">Every sheet is rebuilt from the trial folders (trial.json, timeline.json, meta.json) each time the window sends. Edit a trial in the MMHRI window (or its trial.json), not in these sheets — your edits here would be replaced. Sheets you add yourself are kept.</t>
  </si>
  <si>
    <t xml:space="preserve"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</si>
  <si>
    <t xml:space="preserve">From the first command (or the pointing choice) to the end of the robot's cycle (back home).</t>
  </si>
  <si>
    <t xml:space="preserve">voice = the task began with a spoken command; pointing/click = the object was chosen by pointing or a click before anything was said.</t>
  </si>
  <si>
    <t xml:space="preserve">The end-of-speech wait (0.5-0.8 s, to be sure you finished) plus speech recognition.</t>
  </si>
  <si>
    <t xml:space="preserve">The end of the operator's voice → the robot command for that sentence.</t>
  </si>
  <si>
    <t xml:space="preserve">The accepted transcript that caused the command → the command.</t>
  </si>
  <si>
    <t xml:space="preserve">instant rule = the fixed phrase layer (about 0.01 s); language model = Claude (about 1 s).</t>
  </si>
  <si>
    <t xml:space="preserve">The first command → the pipeline committing the object. Includes a clarification dialogue ('which one?') or the pointing, and handing the object's name to the pipeline.</t>
  </si>
  <si>
    <t xml:space="preserve">The committed choice → grasp candidates published (capture, segmentation, the stored-grasp lookup, or GraspGen when nothing was stored).</t>
  </si>
  <si>
    <t xml:space="preserve">yes = GraspGen had already computed this object's grasps before the command (precompute); no = it ran after the command, and the operator waited for it.</t>
  </si>
  <si>
    <t xml:space="preserve">Duration of the GraspGen run whose grasps the robot executed.</t>
  </si>
  <si>
    <t xml:space="preserve">How much of that run the operator actually waited for (0 = ready before).</t>
  </si>
  <si>
    <t xml:space="preserve">How long before the choice the grasps were ready.</t>
  </si>
  <si>
    <t xml:space="preserve">How the approach was planned: curve = the smooth approach path (bend + straight slide); lines = blended straight-line segments, the fallback.</t>
  </si>
  <si>
    <t xml:space="preserve">yes = the executor had already verified this grasp could be reached (precheck hit), so it moved at once; no = it checked after the candidates arrived (precheck miss) and the operator waited for it.</t>
  </si>
  <si>
    <t xml:space="preserve">Time to verify the plan: the background probe (when checked in the background) or the probe after the candidates arrived.</t>
  </si>
  <si>
    <t xml:space="preserve">What the operator actually waited in the executor, from the candidates to moving.</t>
  </si>
  <si>
    <t xml:space="preserve">Which of the GraspGen candidates was executed ('1 of 26' = the best-ranked one).</t>
  </si>
  <si>
    <t xml:space="preserve">How many candidates the executor probed before executing one.</t>
  </si>
  <si>
    <t xml:space="preserve">The command given → the gripper opened at the destination.</t>
  </si>
  <si>
    <t xml:space="preserve">Time Morty waited for the operator: at 'Where should I drop it?', 'Should I open the gripper?' and 'Should I go back home?'.</t>
  </si>
  <si>
    <t xml:space="preserve">Total time minus the time Morty waited for the operator.</t>
  </si>
  <si>
    <t xml:space="preserve">final = rebuilt from exact event times after the trial (the messages' own stamps, else the earliest recorder); preliminary = the window's own times at ⏹ (can be late under load).</t>
  </si>
  <si>
    <t xml:space="preserve">Summary: success rate</t>
  </si>
  <si>
    <t xml:space="preserve">Full Task Success = yes divided by (yes + no); trials without a verdict are not counted.</t>
  </si>
  <si>
    <t xml:space="preserve">trial folder</t>
  </si>
  <si>
    <t xml:space="preserve">/home/deep/morty_ws/experiments/experiments_28_09_2026/trial_086_LA_S1</t>
  </si>
  <si>
    <t xml:space="preserve">/home/deep/morty_ws/experiments/experiments_28_09_2026/trial_087_LA_S2</t>
  </si>
  <si>
    <t xml:space="preserve">/home/deep/morty_ws/experiments/experiments_28_09_2026/trial_088_LA_S3</t>
  </si>
  <si>
    <t xml:space="preserve">/home/deep/morty_ws/experiments/experiments_28_09_2026/trial_089_LA_S4</t>
  </si>
  <si>
    <t xml:space="preserve">/home/deep/morty_ws/experiments/experiments_28_09_2026/trial_090_LA_S5</t>
  </si>
  <si>
    <t xml:space="preserve">/home/deep/morty_ws/experiments/experiments_28_09_2026/trial_091_LA_S5</t>
  </si>
  <si>
    <t xml:space="preserve">/home/deep/morty_ws/experiments/experiments_28_09_2026/trial_092_LA_S1</t>
  </si>
  <si>
    <t xml:space="preserve">/home/deep/morty_ws/experiments/experiments_28_09_2026/trial_093_LA_S2</t>
  </si>
  <si>
    <t xml:space="preserve">/home/deep/morty_ws/experiments/experiments_28_09_2026/trial_094_LA_S3</t>
  </si>
  <si>
    <t xml:space="preserve">/home/deep/morty_ws/experiments/experiments_28_09_2026/trial_095_LA_S3</t>
  </si>
  <si>
    <t xml:space="preserve">/home/deep/morty_ws/experiments/experiments_28_09_2026/trial_097_LA_S5</t>
  </si>
  <si>
    <t xml:space="preserve">/home/deep/morty_ws/experiments/experiments_28_09_2026/trial_096_LA_S4</t>
  </si>
  <si>
    <t xml:space="preserve">/home/deep/morty_ws/experiments/experiments_28_09_2026/trial_099_LA_S3</t>
  </si>
  <si>
    <t xml:space="preserve">/home/deep/morty_ws/experiments/experiments_28_09_2026/trial_100_LA_S3</t>
  </si>
  <si>
    <t xml:space="preserve">/home/deep/morty_ws/experiments/experiments_28_09_2026/trial_101_LA_S4</t>
  </si>
  <si>
    <t xml:space="preserve">/home/deep/morty_ws/experiments/experiments_28_09_2026/trial_105_LA_S1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</si>
</sst>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%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E2F0D9"/>
      </patternFill>
    </fill>
    <fill>
      <patternFill patternType="solid">
        <fgColor rgb="FFB8CCE4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CE6F1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0563C1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CE6F1"/>
      <rgbColor rgb="FF660066"/>
      <rgbColor rgb="FFFF8080"/>
      <rgbColor rgb="FF0563C1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../experiments_28_09_2026/trial_086_LA_S1" TargetMode="External"/><Relationship Id="rId3" Type="http://schemas.openxmlformats.org/officeDocument/2006/relationships/hyperlink" Target="../experiments_28_09_2026/trial_086_LA_S1/trial.mp4" TargetMode="External"/><Relationship Id="rId4" Type="http://schemas.openxmlformats.org/officeDocument/2006/relationships/hyperlink" Target="../experiments_28_09_2026/trial_087_LA_S2" TargetMode="External"/><Relationship Id="rId5" Type="http://schemas.openxmlformats.org/officeDocument/2006/relationships/hyperlink" Target="../experiments_28_09_2026/trial_087_LA_S2/trial.mp4" TargetMode="External"/><Relationship Id="rId6" Type="http://schemas.openxmlformats.org/officeDocument/2006/relationships/hyperlink" Target="../experiments_28_09_2026/trial_088_LA_S3" TargetMode="External"/><Relationship Id="rId7" Type="http://schemas.openxmlformats.org/officeDocument/2006/relationships/hyperlink" Target="../experiments_28_09_2026/trial_088_LA_S3/viewer.html" TargetMode="External"/><Relationship Id="rId8" Type="http://schemas.openxmlformats.org/officeDocument/2006/relationships/hyperlink" Target="../experiments_28_09_2026/trial_088_LA_S3/trial.mp4" TargetMode="External"/><Relationship Id="rId9" Type="http://schemas.openxmlformats.org/officeDocument/2006/relationships/hyperlink" Target="../experiments_28_09_2026/trial_089_LA_S4" TargetMode="External"/><Relationship Id="rId10" Type="http://schemas.openxmlformats.org/officeDocument/2006/relationships/hyperlink" Target="../experiments_28_09_2026/trial_089_LA_S4/viewer.html" TargetMode="External"/><Relationship Id="rId11" Type="http://schemas.openxmlformats.org/officeDocument/2006/relationships/hyperlink" Target="../experiments_28_09_2026/trial_089_LA_S4/trial.mp4" TargetMode="External"/><Relationship Id="rId12" Type="http://schemas.openxmlformats.org/officeDocument/2006/relationships/hyperlink" Target="../experiments_28_09_2026/trial_090_LA_S5" TargetMode="External"/><Relationship Id="rId13" Type="http://schemas.openxmlformats.org/officeDocument/2006/relationships/hyperlink" Target="../experiments_28_09_2026/trial_090_LA_S5/viewer.html" TargetMode="External"/><Relationship Id="rId14" Type="http://schemas.openxmlformats.org/officeDocument/2006/relationships/hyperlink" Target="../experiments_28_09_2026/trial_090_LA_S5/trial.mp4" TargetMode="External"/><Relationship Id="rId15" Type="http://schemas.openxmlformats.org/officeDocument/2006/relationships/hyperlink" Target="../experiments_28_09_2026/trial_091_LA_S5" TargetMode="External"/><Relationship Id="rId16" Type="http://schemas.openxmlformats.org/officeDocument/2006/relationships/hyperlink" Target="../experiments_28_09_2026/trial_091_LA_S5/viewer.html" TargetMode="External"/><Relationship Id="rId17" Type="http://schemas.openxmlformats.org/officeDocument/2006/relationships/hyperlink" Target="../experiments_28_09_2026/trial_091_LA_S5/trial.mp4" TargetMode="External"/><Relationship Id="rId18" Type="http://schemas.openxmlformats.org/officeDocument/2006/relationships/hyperlink" Target="../experiments_28_09_2026/trial_092_LA_S1" TargetMode="External"/><Relationship Id="rId19" Type="http://schemas.openxmlformats.org/officeDocument/2006/relationships/hyperlink" Target="../experiments_28_09_2026/trial_092_LA_S1/trial.mp4" TargetMode="External"/><Relationship Id="rId20" Type="http://schemas.openxmlformats.org/officeDocument/2006/relationships/hyperlink" Target="../experiments_28_09_2026/trial_093_LA_S2" TargetMode="External"/><Relationship Id="rId21" Type="http://schemas.openxmlformats.org/officeDocument/2006/relationships/hyperlink" Target="../experiments_28_09_2026/trial_093_LA_S2/trial.mp4" TargetMode="External"/><Relationship Id="rId22" Type="http://schemas.openxmlformats.org/officeDocument/2006/relationships/hyperlink" Target="experiments_28_09_2026/trial_095_LA_S3" TargetMode="External"/><Relationship Id="rId23" Type="http://schemas.openxmlformats.org/officeDocument/2006/relationships/hyperlink" Target="experiments_28_09_2026/trial_095_LA_S3/viewer.html" TargetMode="External"/><Relationship Id="rId24" Type="http://schemas.openxmlformats.org/officeDocument/2006/relationships/hyperlink" Target="experiments_28_09_2026/trial_095_LA_S3/trial.mp4" TargetMode="External"/><Relationship Id="rId25" Type="http://schemas.openxmlformats.org/officeDocument/2006/relationships/hyperlink" Target="experiments_28_09_2026/trial_097_LA_S5" TargetMode="External"/><Relationship Id="rId26" Type="http://schemas.openxmlformats.org/officeDocument/2006/relationships/hyperlink" Target="experiments_28_09_2026/trial_097_LA_S5/viewer.html" TargetMode="External"/><Relationship Id="rId27" Type="http://schemas.openxmlformats.org/officeDocument/2006/relationships/hyperlink" Target="experiments_28_09_2026/trial_097_LA_S5/trial.mp4" TargetMode="External"/><Relationship Id="rId28" Type="http://schemas.openxmlformats.org/officeDocument/2006/relationships/hyperlink" Target="experiments_28_09_2026/trial_096_LA_S4" TargetMode="External"/><Relationship Id="rId29" Type="http://schemas.openxmlformats.org/officeDocument/2006/relationships/hyperlink" Target="experiments_28_09_2026/trial_096_LA_S4/viewer.html" TargetMode="External"/><Relationship Id="rId30" Type="http://schemas.openxmlformats.org/officeDocument/2006/relationships/hyperlink" Target="experiments_28_09_2026/trial_096_LA_S4/trial.mp4" TargetMode="External"/><Relationship Id="rId31" Type="http://schemas.openxmlformats.org/officeDocument/2006/relationships/hyperlink" Target="experiments_28_09_2026/trial_099_LA_S3" TargetMode="External"/><Relationship Id="rId32" Type="http://schemas.openxmlformats.org/officeDocument/2006/relationships/hyperlink" Target="experiments_28_09_2026/trial_099_LA_S3/viewer.html" TargetMode="External"/><Relationship Id="rId33" Type="http://schemas.openxmlformats.org/officeDocument/2006/relationships/hyperlink" Target="experiments_28_09_2026/trial_099_LA_S3/trial.mp4" TargetMode="External"/><Relationship Id="rId34" Type="http://schemas.openxmlformats.org/officeDocument/2006/relationships/hyperlink" Target="experiments_28_09_2026/trial_100_LA_S3" TargetMode="External"/><Relationship Id="rId35" Type="http://schemas.openxmlformats.org/officeDocument/2006/relationships/hyperlink" Target="experiments_28_09_2026/trial_100_LA_S3/viewer.html" TargetMode="External"/><Relationship Id="rId36" Type="http://schemas.openxmlformats.org/officeDocument/2006/relationships/hyperlink" Target="experiments_28_09_2026/trial_100_LA_S3/trial.mp4" TargetMode="External"/><Relationship Id="rId37" Type="http://schemas.openxmlformats.org/officeDocument/2006/relationships/hyperlink" Target="experiments_28_09_2026/trial_101_LA_S4" TargetMode="External"/><Relationship Id="rId38" Type="http://schemas.openxmlformats.org/officeDocument/2006/relationships/hyperlink" Target="experiments_28_09_2026/trial_101_LA_S4/viewer.html" TargetMode="External"/><Relationship Id="rId39" Type="http://schemas.openxmlformats.org/officeDocument/2006/relationships/hyperlink" Target="experiments_28_09_2026/trial_101_LA_S4/trial.mp4" TargetMode="External"/><Relationship Id="rId40" Type="http://schemas.openxmlformats.org/officeDocument/2006/relationships/hyperlink" Target="experiments_28_09_2026/trial_105_LA_S1" TargetMode="External"/><Relationship Id="rId41" Type="http://schemas.openxmlformats.org/officeDocument/2006/relationships/hyperlink" Target="experiments_28_09_2026/trial_105_LA_S1/trial.mp4" TargetMode="External"/><Relationship Id="rId42" Type="http://schemas.openxmlformats.org/officeDocument/2006/relationships/drawing" Target="../drawings/drawing1.xml"/><Relationship Id="rId4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0" activeCellId="0" sqref="A10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8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36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7" min="12" style="1" width="12"/>
    <col collapsed="false" customWidth="true" hidden="false" outlineLevel="0" max="18" min="18" style="1" width="11"/>
    <col collapsed="false" customWidth="true" hidden="false" outlineLevel="0" max="19" min="19" style="1" width="10"/>
    <col collapsed="false" customWidth="true" hidden="false" outlineLevel="0" max="20" min="20" style="1" width="30"/>
    <col collapsed="false" customWidth="true" hidden="false" outlineLevel="0" max="21" min="21" style="1" width="11"/>
    <col collapsed="false" customWidth="true" hidden="false" outlineLevel="0" max="22" min="22" style="1" width="13"/>
    <col collapsed="false" customWidth="true" hidden="false" outlineLevel="0" max="23" min="23" style="1" width="11"/>
    <col collapsed="false" customWidth="true" hidden="false" outlineLevel="0" max="24" min="24" style="1" width="10"/>
    <col collapsed="false" customWidth="true" hidden="false" outlineLevel="0" max="25" min="25" style="1" width="11"/>
    <col collapsed="false" customWidth="true" hidden="false" outlineLevel="0" max="26" min="26" style="1" width="10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30" min="29" style="1" width="10"/>
    <col collapsed="false" customWidth="true" hidden="false" outlineLevel="0" max="31" min="31" style="1" width="30"/>
    <col collapsed="false" customWidth="true" hidden="false" outlineLevel="0" max="32" min="32" style="1" width="10"/>
    <col collapsed="false" customWidth="true" hidden="false" outlineLevel="0" max="33" min="33" style="1" width="26"/>
    <col collapsed="false" customWidth="true" hidden="false" outlineLevel="0" max="35" min="34" style="1" width="1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</row>
    <row r="2" customFormat="false" ht="15" hidden="false" customHeight="true" outlineLevel="0" collapsed="false">
      <c r="A2" s="3" t="s">
        <v>35</v>
      </c>
      <c r="B2" s="4" t="s">
        <v>36</v>
      </c>
      <c r="C2" s="4"/>
      <c r="D2" s="4" t="s">
        <v>37</v>
      </c>
      <c r="E2" s="4" t="s">
        <v>38</v>
      </c>
      <c r="F2" s="4" t="s">
        <v>39</v>
      </c>
      <c r="G2" s="4" t="s">
        <v>40</v>
      </c>
      <c r="H2" s="4"/>
      <c r="I2" s="4" t="s">
        <v>41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 t="s">
        <v>42</v>
      </c>
      <c r="V2" s="4"/>
      <c r="W2" s="4"/>
      <c r="X2" s="4"/>
      <c r="Y2" s="4"/>
      <c r="Z2" s="4"/>
      <c r="AA2" s="4"/>
      <c r="AB2" s="4"/>
      <c r="AC2" s="4"/>
      <c r="AD2" s="4" t="s">
        <v>43</v>
      </c>
      <c r="AE2" s="4"/>
      <c r="AF2" s="4"/>
      <c r="AG2" s="5" t="s">
        <v>44</v>
      </c>
      <c r="AI2" s="5" t="s">
        <v>45</v>
      </c>
    </row>
    <row r="3" customFormat="false" ht="15" hidden="false" customHeight="true" outlineLevel="0" collapsed="false">
      <c r="A3" s="3" t="s">
        <v>46</v>
      </c>
      <c r="B3" s="4" t="s">
        <v>36</v>
      </c>
      <c r="C3" s="4"/>
      <c r="D3" s="4" t="s">
        <v>37</v>
      </c>
      <c r="E3" s="4" t="s">
        <v>47</v>
      </c>
      <c r="F3" s="4" t="s">
        <v>48</v>
      </c>
      <c r="G3" s="4" t="s">
        <v>40</v>
      </c>
      <c r="H3" s="4"/>
      <c r="I3" s="4" t="s">
        <v>49</v>
      </c>
      <c r="J3" s="4" t="s">
        <v>50</v>
      </c>
      <c r="K3" s="4" t="s">
        <v>51</v>
      </c>
      <c r="L3" s="4"/>
      <c r="M3" s="4"/>
      <c r="N3" s="4"/>
      <c r="O3" s="4"/>
      <c r="P3" s="4"/>
      <c r="Q3" s="4"/>
      <c r="R3" s="4"/>
      <c r="S3" s="4"/>
      <c r="T3" s="4"/>
      <c r="U3" s="4" t="s">
        <v>42</v>
      </c>
      <c r="V3" s="4"/>
      <c r="W3" s="4"/>
      <c r="X3" s="4"/>
      <c r="Y3" s="4"/>
      <c r="Z3" s="4"/>
      <c r="AA3" s="4"/>
      <c r="AB3" s="4"/>
      <c r="AC3" s="4"/>
      <c r="AD3" s="4" t="s">
        <v>43</v>
      </c>
      <c r="AE3" s="4"/>
      <c r="AF3" s="4"/>
      <c r="AG3" s="5" t="s">
        <v>52</v>
      </c>
      <c r="AI3" s="5" t="s">
        <v>45</v>
      </c>
    </row>
    <row r="4" customFormat="false" ht="15" hidden="false" customHeight="true" outlineLevel="0" collapsed="false">
      <c r="A4" s="3" t="s">
        <v>53</v>
      </c>
      <c r="B4" s="4" t="s">
        <v>36</v>
      </c>
      <c r="C4" s="4"/>
      <c r="D4" s="4" t="s">
        <v>37</v>
      </c>
      <c r="E4" s="4" t="s">
        <v>54</v>
      </c>
      <c r="F4" s="4" t="s">
        <v>55</v>
      </c>
      <c r="G4" s="4" t="s">
        <v>40</v>
      </c>
      <c r="H4" s="4"/>
      <c r="I4" s="4" t="s">
        <v>56</v>
      </c>
      <c r="J4" s="4" t="s">
        <v>50</v>
      </c>
      <c r="K4" s="4" t="s">
        <v>57</v>
      </c>
      <c r="L4" s="4" t="s">
        <v>58</v>
      </c>
      <c r="M4" s="4" t="s">
        <v>58</v>
      </c>
      <c r="N4" s="4" t="s">
        <v>58</v>
      </c>
      <c r="O4" s="4" t="s">
        <v>58</v>
      </c>
      <c r="P4" s="4" t="s">
        <v>58</v>
      </c>
      <c r="Q4" s="4" t="s">
        <v>58</v>
      </c>
      <c r="R4" s="6" t="n">
        <v>5.21</v>
      </c>
      <c r="S4" s="6" t="n">
        <v>45.08</v>
      </c>
      <c r="T4" s="4"/>
      <c r="U4" s="4" t="s">
        <v>42</v>
      </c>
      <c r="V4" s="4" t="s">
        <v>59</v>
      </c>
      <c r="W4" s="4" t="s">
        <v>58</v>
      </c>
      <c r="X4" s="4" t="s">
        <v>60</v>
      </c>
      <c r="Y4" s="4" t="s">
        <v>58</v>
      </c>
      <c r="Z4" s="4" t="s">
        <v>61</v>
      </c>
      <c r="AA4" s="6" t="n">
        <v>32.542</v>
      </c>
      <c r="AB4" s="6" t="n">
        <v>21.106</v>
      </c>
      <c r="AC4" s="6" t="n">
        <v>23.974</v>
      </c>
      <c r="AD4" s="4" t="s">
        <v>43</v>
      </c>
      <c r="AE4" s="4" t="s">
        <v>62</v>
      </c>
      <c r="AF4" s="4" t="s">
        <v>63</v>
      </c>
      <c r="AG4" s="5" t="s">
        <v>64</v>
      </c>
      <c r="AH4" s="5" t="s">
        <v>65</v>
      </c>
      <c r="AI4" s="5" t="s">
        <v>45</v>
      </c>
    </row>
    <row r="5" customFormat="false" ht="15" hidden="false" customHeight="true" outlineLevel="0" collapsed="false">
      <c r="A5" s="3" t="s">
        <v>66</v>
      </c>
      <c r="B5" s="4" t="s">
        <v>36</v>
      </c>
      <c r="C5" s="4"/>
      <c r="D5" s="4" t="s">
        <v>37</v>
      </c>
      <c r="E5" s="4" t="s">
        <v>67</v>
      </c>
      <c r="F5" s="4" t="s">
        <v>68</v>
      </c>
      <c r="G5" s="4" t="s">
        <v>40</v>
      </c>
      <c r="H5" s="4"/>
      <c r="I5" s="4" t="s">
        <v>69</v>
      </c>
      <c r="J5" s="4" t="s">
        <v>70</v>
      </c>
      <c r="K5" s="4" t="s">
        <v>71</v>
      </c>
      <c r="L5" s="4" t="s">
        <v>58</v>
      </c>
      <c r="M5" s="4" t="s">
        <v>58</v>
      </c>
      <c r="N5" s="4" t="s">
        <v>58</v>
      </c>
      <c r="O5" s="4" t="s">
        <v>58</v>
      </c>
      <c r="P5" s="4" t="s">
        <v>58</v>
      </c>
      <c r="Q5" s="4" t="s">
        <v>58</v>
      </c>
      <c r="R5" s="6" t="n">
        <v>11.901</v>
      </c>
      <c r="S5" s="6" t="n">
        <v>49.555</v>
      </c>
      <c r="T5" s="4"/>
      <c r="U5" s="4" t="s">
        <v>42</v>
      </c>
      <c r="V5" s="4" t="s">
        <v>59</v>
      </c>
      <c r="W5" s="4" t="s">
        <v>58</v>
      </c>
      <c r="X5" s="4" t="s">
        <v>60</v>
      </c>
      <c r="Y5" s="4" t="s">
        <v>58</v>
      </c>
      <c r="Z5" s="4" t="s">
        <v>72</v>
      </c>
      <c r="AA5" s="6" t="n">
        <v>37.421</v>
      </c>
      <c r="AB5" s="6" t="n">
        <v>22.598</v>
      </c>
      <c r="AC5" s="6" t="n">
        <v>26.957</v>
      </c>
      <c r="AD5" s="4" t="s">
        <v>43</v>
      </c>
      <c r="AE5" s="4" t="s">
        <v>73</v>
      </c>
      <c r="AF5" s="4" t="s">
        <v>63</v>
      </c>
      <c r="AG5" s="5" t="s">
        <v>74</v>
      </c>
      <c r="AH5" s="5" t="s">
        <v>65</v>
      </c>
      <c r="AI5" s="5" t="s">
        <v>45</v>
      </c>
    </row>
    <row r="6" customFormat="false" ht="15" hidden="false" customHeight="true" outlineLevel="0" collapsed="false">
      <c r="A6" s="3" t="s">
        <v>75</v>
      </c>
      <c r="B6" s="4" t="s">
        <v>36</v>
      </c>
      <c r="C6" s="4"/>
      <c r="D6" s="4" t="s">
        <v>37</v>
      </c>
      <c r="E6" s="4" t="s">
        <v>76</v>
      </c>
      <c r="F6" s="4" t="s">
        <v>77</v>
      </c>
      <c r="G6" s="4" t="s">
        <v>40</v>
      </c>
      <c r="H6" s="4"/>
      <c r="I6" s="4" t="s">
        <v>69</v>
      </c>
      <c r="J6" s="4" t="s">
        <v>78</v>
      </c>
      <c r="K6" s="4" t="s">
        <v>57</v>
      </c>
      <c r="L6" s="4" t="s">
        <v>58</v>
      </c>
      <c r="M6" s="4" t="s">
        <v>58</v>
      </c>
      <c r="N6" s="4" t="s">
        <v>58</v>
      </c>
      <c r="O6" s="4" t="s">
        <v>58</v>
      </c>
      <c r="P6" s="4" t="s">
        <v>58</v>
      </c>
      <c r="Q6" s="4" t="s">
        <v>58</v>
      </c>
      <c r="R6" s="6" t="n">
        <v>10.304</v>
      </c>
      <c r="S6" s="6" t="n">
        <v>49.439</v>
      </c>
      <c r="T6" s="4"/>
      <c r="U6" s="4" t="s">
        <v>42</v>
      </c>
      <c r="V6" s="4" t="s">
        <v>59</v>
      </c>
      <c r="W6" s="4" t="s">
        <v>58</v>
      </c>
      <c r="X6" s="4" t="s">
        <v>60</v>
      </c>
      <c r="Y6" s="4" t="s">
        <v>58</v>
      </c>
      <c r="Z6" s="4" t="s">
        <v>79</v>
      </c>
      <c r="AA6" s="6" t="n">
        <v>37.947</v>
      </c>
      <c r="AB6" s="6" t="n">
        <v>19.917</v>
      </c>
      <c r="AC6" s="6" t="n">
        <v>29.522</v>
      </c>
      <c r="AD6" s="4" t="s">
        <v>43</v>
      </c>
      <c r="AE6" s="4" t="s">
        <v>80</v>
      </c>
      <c r="AF6" s="4" t="s">
        <v>63</v>
      </c>
      <c r="AG6" s="5" t="s">
        <v>81</v>
      </c>
      <c r="AH6" s="5" t="s">
        <v>65</v>
      </c>
      <c r="AI6" s="5" t="s">
        <v>45</v>
      </c>
    </row>
    <row r="7" customFormat="false" ht="15" hidden="false" customHeight="true" outlineLevel="0" collapsed="false">
      <c r="A7" s="3" t="s">
        <v>82</v>
      </c>
      <c r="B7" s="4" t="s">
        <v>36</v>
      </c>
      <c r="C7" s="4"/>
      <c r="D7" s="4" t="s">
        <v>37</v>
      </c>
      <c r="E7" s="4" t="s">
        <v>76</v>
      </c>
      <c r="F7" s="4" t="s">
        <v>77</v>
      </c>
      <c r="G7" s="4" t="s">
        <v>40</v>
      </c>
      <c r="H7" s="4" t="s">
        <v>83</v>
      </c>
      <c r="I7" s="4" t="s">
        <v>84</v>
      </c>
      <c r="J7" s="4" t="s">
        <v>50</v>
      </c>
      <c r="K7" s="4" t="s">
        <v>57</v>
      </c>
      <c r="L7" s="4" t="s">
        <v>58</v>
      </c>
      <c r="M7" s="4" t="s">
        <v>58</v>
      </c>
      <c r="N7" s="4" t="s">
        <v>58</v>
      </c>
      <c r="O7" s="4" t="s">
        <v>58</v>
      </c>
      <c r="P7" s="4" t="s">
        <v>58</v>
      </c>
      <c r="Q7" s="4" t="s">
        <v>58</v>
      </c>
      <c r="R7" s="6" t="n">
        <v>0.511</v>
      </c>
      <c r="S7" s="6" t="n">
        <v>47.072</v>
      </c>
      <c r="T7" s="4"/>
      <c r="U7" s="4" t="s">
        <v>85</v>
      </c>
      <c r="V7" s="4"/>
      <c r="W7" s="4" t="s">
        <v>58</v>
      </c>
      <c r="X7" s="4" t="s">
        <v>60</v>
      </c>
      <c r="Y7" s="4" t="s">
        <v>58</v>
      </c>
      <c r="Z7" s="4" t="s">
        <v>86</v>
      </c>
      <c r="AA7" s="6" t="n">
        <v>39.692</v>
      </c>
      <c r="AB7" s="6" t="n">
        <v>28.371</v>
      </c>
      <c r="AC7" s="6" t="n">
        <v>18.701</v>
      </c>
      <c r="AD7" s="4" t="s">
        <v>43</v>
      </c>
      <c r="AE7" s="4" t="s">
        <v>62</v>
      </c>
      <c r="AF7" s="4" t="s">
        <v>63</v>
      </c>
      <c r="AG7" s="5" t="s">
        <v>87</v>
      </c>
      <c r="AH7" s="5" t="s">
        <v>65</v>
      </c>
      <c r="AI7" s="5" t="s">
        <v>45</v>
      </c>
    </row>
    <row r="8" customFormat="false" ht="15" hidden="false" customHeight="true" outlineLevel="0" collapsed="false">
      <c r="A8" s="3" t="s">
        <v>88</v>
      </c>
      <c r="B8" s="4" t="s">
        <v>36</v>
      </c>
      <c r="C8" s="4"/>
      <c r="D8" s="4" t="s">
        <v>37</v>
      </c>
      <c r="E8" s="4" t="s">
        <v>38</v>
      </c>
      <c r="F8" s="4" t="s">
        <v>39</v>
      </c>
      <c r="G8" s="4" t="s">
        <v>40</v>
      </c>
      <c r="H8" s="4"/>
      <c r="I8" s="4" t="s">
        <v>89</v>
      </c>
      <c r="J8" s="4" t="s">
        <v>51</v>
      </c>
      <c r="K8" s="4" t="s">
        <v>51</v>
      </c>
      <c r="L8" s="4"/>
      <c r="M8" s="4"/>
      <c r="N8" s="4"/>
      <c r="O8" s="4"/>
      <c r="P8" s="4"/>
      <c r="Q8" s="4"/>
      <c r="R8" s="4"/>
      <c r="S8" s="4"/>
      <c r="T8" s="4"/>
      <c r="U8" s="4" t="s">
        <v>42</v>
      </c>
      <c r="V8" s="4"/>
      <c r="W8" s="4"/>
      <c r="X8" s="4"/>
      <c r="Y8" s="4"/>
      <c r="Z8" s="4"/>
      <c r="AA8" s="4"/>
      <c r="AB8" s="4"/>
      <c r="AC8" s="4"/>
      <c r="AD8" s="4" t="s">
        <v>43</v>
      </c>
      <c r="AE8" s="4"/>
      <c r="AF8" s="4"/>
      <c r="AG8" s="5" t="s">
        <v>90</v>
      </c>
      <c r="AI8" s="5" t="s">
        <v>45</v>
      </c>
    </row>
    <row r="9" customFormat="false" ht="15" hidden="false" customHeight="true" outlineLevel="0" collapsed="false">
      <c r="A9" s="3" t="s">
        <v>91</v>
      </c>
      <c r="B9" s="4" t="s">
        <v>36</v>
      </c>
      <c r="C9" s="4"/>
      <c r="D9" s="4" t="s">
        <v>37</v>
      </c>
      <c r="E9" s="4" t="s">
        <v>47</v>
      </c>
      <c r="F9" s="4" t="s">
        <v>48</v>
      </c>
      <c r="G9" s="4" t="s">
        <v>40</v>
      </c>
      <c r="H9" s="4"/>
      <c r="I9" s="4" t="s">
        <v>92</v>
      </c>
      <c r="J9" s="4" t="s">
        <v>93</v>
      </c>
      <c r="K9" s="4" t="s">
        <v>51</v>
      </c>
      <c r="L9" s="4" t="s">
        <v>58</v>
      </c>
      <c r="M9" s="4" t="s">
        <v>58</v>
      </c>
      <c r="N9" s="4"/>
      <c r="O9" s="4"/>
      <c r="P9" s="4"/>
      <c r="Q9" s="4"/>
      <c r="R9" s="4"/>
      <c r="S9" s="4"/>
      <c r="T9" s="4"/>
      <c r="U9" s="4" t="s">
        <v>42</v>
      </c>
      <c r="V9" s="4"/>
      <c r="W9" s="4"/>
      <c r="X9" s="4"/>
      <c r="Y9" s="4"/>
      <c r="Z9" s="4"/>
      <c r="AA9" s="4"/>
      <c r="AB9" s="4"/>
      <c r="AC9" s="4"/>
      <c r="AD9" s="4" t="s">
        <v>43</v>
      </c>
      <c r="AE9" s="4"/>
      <c r="AF9" s="4"/>
      <c r="AG9" s="5" t="s">
        <v>94</v>
      </c>
      <c r="AI9" s="5" t="s">
        <v>45</v>
      </c>
    </row>
    <row r="10" customFormat="false" ht="15" hidden="false" customHeight="true" outlineLevel="0" collapsed="false">
      <c r="A10" s="3" t="s">
        <v>95</v>
      </c>
      <c r="B10" s="4" t="s">
        <v>36</v>
      </c>
      <c r="C10" s="4"/>
      <c r="D10" s="4" t="s">
        <v>37</v>
      </c>
      <c r="E10" s="4" t="s">
        <v>54</v>
      </c>
      <c r="F10" s="4" t="s">
        <v>55</v>
      </c>
      <c r="G10" s="4" t="s">
        <v>40</v>
      </c>
      <c r="H10" s="4"/>
      <c r="I10" s="4" t="s">
        <v>96</v>
      </c>
      <c r="J10" s="4" t="s">
        <v>97</v>
      </c>
      <c r="K10" s="4" t="s">
        <v>71</v>
      </c>
      <c r="L10" s="4" t="s">
        <v>58</v>
      </c>
      <c r="M10" s="4" t="s">
        <v>58</v>
      </c>
      <c r="N10" s="4" t="s">
        <v>58</v>
      </c>
      <c r="O10" s="4" t="s">
        <v>58</v>
      </c>
      <c r="P10" s="4" t="s">
        <v>58</v>
      </c>
      <c r="Q10" s="4" t="s">
        <v>58</v>
      </c>
      <c r="R10" s="6" t="n">
        <v>4.194</v>
      </c>
      <c r="S10" s="6" t="n">
        <v>39.212</v>
      </c>
      <c r="T10" s="4"/>
      <c r="U10" s="4" t="s">
        <v>42</v>
      </c>
      <c r="V10" s="4" t="s">
        <v>98</v>
      </c>
      <c r="W10" s="4" t="s">
        <v>58</v>
      </c>
      <c r="X10" s="4" t="s">
        <v>60</v>
      </c>
      <c r="Y10" s="4" t="s">
        <v>58</v>
      </c>
      <c r="Z10" s="4" t="s">
        <v>99</v>
      </c>
      <c r="AA10" s="6" t="n">
        <v>29.932</v>
      </c>
      <c r="AB10" s="6" t="n">
        <v>20.712</v>
      </c>
      <c r="AC10" s="6" t="n">
        <v>18.5</v>
      </c>
      <c r="AD10" s="4" t="s">
        <v>43</v>
      </c>
      <c r="AE10" s="4" t="s">
        <v>100</v>
      </c>
      <c r="AF10" s="4" t="s">
        <v>63</v>
      </c>
      <c r="AG10" s="5" t="s">
        <v>101</v>
      </c>
      <c r="AH10" s="5" t="s">
        <v>65</v>
      </c>
      <c r="AI10" s="5" t="s">
        <v>45</v>
      </c>
    </row>
    <row r="11" customFormat="false" ht="15" hidden="false" customHeight="true" outlineLevel="0" collapsed="false">
      <c r="A11" s="3" t="s">
        <v>102</v>
      </c>
      <c r="B11" s="4" t="s">
        <v>36</v>
      </c>
      <c r="C11" s="4"/>
      <c r="D11" s="4" t="s">
        <v>37</v>
      </c>
      <c r="E11" s="4" t="s">
        <v>76</v>
      </c>
      <c r="F11" s="4" t="s">
        <v>77</v>
      </c>
      <c r="G11" s="4" t="s">
        <v>40</v>
      </c>
      <c r="H11" s="4" t="s">
        <v>83</v>
      </c>
      <c r="I11" s="4" t="s">
        <v>103</v>
      </c>
      <c r="J11" s="4" t="s">
        <v>70</v>
      </c>
      <c r="K11" s="4" t="s">
        <v>57</v>
      </c>
      <c r="L11" s="4" t="s">
        <v>58</v>
      </c>
      <c r="M11" s="4" t="s">
        <v>58</v>
      </c>
      <c r="N11" s="4" t="s">
        <v>58</v>
      </c>
      <c r="O11" s="4" t="s">
        <v>58</v>
      </c>
      <c r="P11" s="4" t="s">
        <v>58</v>
      </c>
      <c r="Q11" s="4" t="s">
        <v>58</v>
      </c>
      <c r="R11" s="6" t="n">
        <v>12.254</v>
      </c>
      <c r="S11" s="6" t="n">
        <v>44.393</v>
      </c>
      <c r="T11" s="4"/>
      <c r="U11" s="4" t="s">
        <v>42</v>
      </c>
      <c r="V11" s="4" t="s">
        <v>98</v>
      </c>
      <c r="W11" s="4" t="s">
        <v>58</v>
      </c>
      <c r="X11" s="4" t="s">
        <v>60</v>
      </c>
      <c r="Y11" s="4" t="s">
        <v>104</v>
      </c>
      <c r="Z11" s="4" t="s">
        <v>105</v>
      </c>
      <c r="AA11" s="6" t="n">
        <v>39.29</v>
      </c>
      <c r="AB11" s="6" t="n">
        <v>16.688</v>
      </c>
      <c r="AC11" s="6" t="n">
        <v>27.705</v>
      </c>
      <c r="AD11" s="4" t="s">
        <v>43</v>
      </c>
      <c r="AE11" s="4" t="s">
        <v>80</v>
      </c>
      <c r="AF11" s="4" t="s">
        <v>63</v>
      </c>
      <c r="AG11" s="5" t="s">
        <v>106</v>
      </c>
      <c r="AH11" s="5" t="s">
        <v>65</v>
      </c>
      <c r="AI11" s="5" t="s">
        <v>45</v>
      </c>
    </row>
    <row r="12" customFormat="false" ht="15" hidden="false" customHeight="true" outlineLevel="0" collapsed="false">
      <c r="A12" s="3" t="s">
        <v>107</v>
      </c>
      <c r="B12" s="4" t="s">
        <v>36</v>
      </c>
      <c r="C12" s="4"/>
      <c r="D12" s="4" t="s">
        <v>37</v>
      </c>
      <c r="E12" s="4" t="s">
        <v>67</v>
      </c>
      <c r="F12" s="4" t="s">
        <v>68</v>
      </c>
      <c r="G12" s="4" t="s">
        <v>40</v>
      </c>
      <c r="H12" s="4"/>
      <c r="I12" s="4" t="s">
        <v>69</v>
      </c>
      <c r="J12" s="4" t="s">
        <v>78</v>
      </c>
      <c r="K12" s="4" t="s">
        <v>108</v>
      </c>
      <c r="L12" s="4" t="s">
        <v>58</v>
      </c>
      <c r="M12" s="4" t="s">
        <v>58</v>
      </c>
      <c r="N12" s="4" t="s">
        <v>58</v>
      </c>
      <c r="O12" s="4" t="s">
        <v>58</v>
      </c>
      <c r="P12" s="4" t="s">
        <v>58</v>
      </c>
      <c r="Q12" s="4" t="s">
        <v>58</v>
      </c>
      <c r="R12" s="6" t="n">
        <v>12.069</v>
      </c>
      <c r="S12" s="6" t="n">
        <v>40.616</v>
      </c>
      <c r="T12" s="4"/>
      <c r="U12" s="4" t="s">
        <v>42</v>
      </c>
      <c r="V12" s="4" t="s">
        <v>59</v>
      </c>
      <c r="W12" s="4" t="s">
        <v>58</v>
      </c>
      <c r="X12" s="4" t="s">
        <v>60</v>
      </c>
      <c r="Y12" s="4" t="s">
        <v>58</v>
      </c>
      <c r="Z12" s="4" t="s">
        <v>109</v>
      </c>
      <c r="AA12" s="6" t="n">
        <v>38.474</v>
      </c>
      <c r="AB12" s="6" t="n">
        <v>14.79</v>
      </c>
      <c r="AC12" s="6" t="n">
        <v>25.826</v>
      </c>
      <c r="AD12" s="4" t="s">
        <v>43</v>
      </c>
      <c r="AE12" s="4" t="s">
        <v>110</v>
      </c>
      <c r="AF12" s="4" t="s">
        <v>63</v>
      </c>
      <c r="AG12" s="5" t="s">
        <v>111</v>
      </c>
      <c r="AH12" s="5" t="s">
        <v>65</v>
      </c>
      <c r="AI12" s="5" t="s">
        <v>45</v>
      </c>
    </row>
    <row r="13" customFormat="false" ht="15" hidden="false" customHeight="true" outlineLevel="0" collapsed="false">
      <c r="A13" s="3" t="s">
        <v>112</v>
      </c>
      <c r="B13" s="4" t="s">
        <v>36</v>
      </c>
      <c r="C13" s="4"/>
      <c r="D13" s="4" t="s">
        <v>37</v>
      </c>
      <c r="E13" s="4" t="s">
        <v>54</v>
      </c>
      <c r="F13" s="4" t="s">
        <v>55</v>
      </c>
      <c r="G13" s="4" t="s">
        <v>40</v>
      </c>
      <c r="H13" s="4"/>
      <c r="I13" s="4" t="s">
        <v>113</v>
      </c>
      <c r="J13" s="4" t="s">
        <v>97</v>
      </c>
      <c r="K13" s="4" t="s">
        <v>51</v>
      </c>
      <c r="L13" s="4"/>
      <c r="M13" s="4"/>
      <c r="N13" s="4"/>
      <c r="O13" s="4"/>
      <c r="P13" s="4"/>
      <c r="Q13" s="4"/>
      <c r="R13" s="6" t="n">
        <v>2.966</v>
      </c>
      <c r="S13" s="6" t="n">
        <v>42.285</v>
      </c>
      <c r="T13" s="4"/>
      <c r="U13" s="4" t="s">
        <v>42</v>
      </c>
      <c r="V13" s="4" t="s">
        <v>59</v>
      </c>
      <c r="W13" s="4" t="s">
        <v>58</v>
      </c>
      <c r="X13" s="4" t="s">
        <v>60</v>
      </c>
      <c r="Y13" s="4" t="s">
        <v>58</v>
      </c>
      <c r="Z13" s="4" t="s">
        <v>114</v>
      </c>
      <c r="AA13" s="6" t="n">
        <v>25.188</v>
      </c>
      <c r="AB13" s="6" t="n">
        <v>21.286</v>
      </c>
      <c r="AC13" s="6" t="n">
        <v>20.999</v>
      </c>
      <c r="AD13" s="4" t="s">
        <v>43</v>
      </c>
      <c r="AE13" s="4" t="s">
        <v>100</v>
      </c>
      <c r="AF13" s="4" t="s">
        <v>63</v>
      </c>
      <c r="AG13" s="5" t="s">
        <v>115</v>
      </c>
      <c r="AH13" s="5" t="s">
        <v>65</v>
      </c>
      <c r="AI13" s="5" t="s">
        <v>45</v>
      </c>
    </row>
    <row r="14" customFormat="false" ht="15" hidden="false" customHeight="true" outlineLevel="0" collapsed="false">
      <c r="A14" s="3" t="s">
        <v>116</v>
      </c>
      <c r="B14" s="4" t="s">
        <v>36</v>
      </c>
      <c r="C14" s="4"/>
      <c r="D14" s="4" t="s">
        <v>37</v>
      </c>
      <c r="E14" s="4" t="s">
        <v>54</v>
      </c>
      <c r="F14" s="4" t="s">
        <v>55</v>
      </c>
      <c r="G14" s="4" t="s">
        <v>40</v>
      </c>
      <c r="H14" s="4"/>
      <c r="I14" s="4" t="s">
        <v>117</v>
      </c>
      <c r="J14" s="4" t="s">
        <v>50</v>
      </c>
      <c r="K14" s="4" t="s">
        <v>108</v>
      </c>
      <c r="L14" s="4" t="s">
        <v>58</v>
      </c>
      <c r="M14" s="4" t="s">
        <v>58</v>
      </c>
      <c r="N14" s="4" t="s">
        <v>58</v>
      </c>
      <c r="O14" s="4" t="s">
        <v>58</v>
      </c>
      <c r="P14" s="4" t="s">
        <v>58</v>
      </c>
      <c r="Q14" s="4" t="s">
        <v>58</v>
      </c>
      <c r="R14" s="6" t="n">
        <v>6.371</v>
      </c>
      <c r="S14" s="6" t="n">
        <v>33.524</v>
      </c>
      <c r="T14" s="4"/>
      <c r="U14" s="4" t="s">
        <v>42</v>
      </c>
      <c r="V14" s="4" t="s">
        <v>98</v>
      </c>
      <c r="W14" s="4" t="s">
        <v>58</v>
      </c>
      <c r="X14" s="4" t="s">
        <v>60</v>
      </c>
      <c r="Y14" s="4" t="s">
        <v>58</v>
      </c>
      <c r="Z14" s="4" t="s">
        <v>118</v>
      </c>
      <c r="AA14" s="6" t="n">
        <v>33.765</v>
      </c>
      <c r="AB14" s="6" t="n">
        <v>15.565</v>
      </c>
      <c r="AC14" s="6" t="n">
        <v>17.959</v>
      </c>
      <c r="AD14" s="4" t="s">
        <v>43</v>
      </c>
      <c r="AE14" s="4" t="s">
        <v>62</v>
      </c>
      <c r="AF14" s="4" t="s">
        <v>63</v>
      </c>
      <c r="AG14" s="5" t="s">
        <v>119</v>
      </c>
      <c r="AH14" s="5" t="s">
        <v>65</v>
      </c>
      <c r="AI14" s="5" t="s">
        <v>45</v>
      </c>
    </row>
    <row r="15" customFormat="false" ht="15" hidden="false" customHeight="true" outlineLevel="0" collapsed="false">
      <c r="A15" s="3" t="s">
        <v>120</v>
      </c>
      <c r="B15" s="4" t="s">
        <v>36</v>
      </c>
      <c r="C15" s="4"/>
      <c r="D15" s="4" t="s">
        <v>37</v>
      </c>
      <c r="E15" s="4" t="s">
        <v>67</v>
      </c>
      <c r="F15" s="4" t="s">
        <v>68</v>
      </c>
      <c r="G15" s="4" t="s">
        <v>40</v>
      </c>
      <c r="H15" s="4" t="s">
        <v>121</v>
      </c>
      <c r="I15" s="4" t="s">
        <v>122</v>
      </c>
      <c r="J15" s="4" t="s">
        <v>70</v>
      </c>
      <c r="K15" s="4" t="s">
        <v>57</v>
      </c>
      <c r="L15" s="4" t="s">
        <v>58</v>
      </c>
      <c r="M15" s="4" t="s">
        <v>58</v>
      </c>
      <c r="N15" s="4" t="s">
        <v>58</v>
      </c>
      <c r="O15" s="4" t="s">
        <v>58</v>
      </c>
      <c r="P15" s="4" t="s">
        <v>58</v>
      </c>
      <c r="Q15" s="4" t="s">
        <v>58</v>
      </c>
      <c r="R15" s="6" t="n">
        <v>21.338</v>
      </c>
      <c r="S15" s="6" t="n">
        <v>81.227</v>
      </c>
      <c r="T15" s="4"/>
      <c r="U15" s="4" t="s">
        <v>42</v>
      </c>
      <c r="V15" s="4" t="s">
        <v>59</v>
      </c>
      <c r="W15" s="4" t="s">
        <v>58</v>
      </c>
      <c r="X15" s="4" t="s">
        <v>60</v>
      </c>
      <c r="Y15" s="4" t="s">
        <v>58</v>
      </c>
      <c r="Z15" s="4" t="s">
        <v>123</v>
      </c>
      <c r="AA15" s="6" t="n">
        <v>62.726</v>
      </c>
      <c r="AB15" s="6" t="n">
        <v>34.836</v>
      </c>
      <c r="AC15" s="6" t="n">
        <v>46.391</v>
      </c>
      <c r="AD15" s="4" t="s">
        <v>43</v>
      </c>
      <c r="AE15" s="4" t="s">
        <v>73</v>
      </c>
      <c r="AF15" s="4" t="s">
        <v>63</v>
      </c>
      <c r="AG15" s="5" t="s">
        <v>124</v>
      </c>
      <c r="AH15" s="5" t="s">
        <v>65</v>
      </c>
      <c r="AI15" s="5" t="s">
        <v>45</v>
      </c>
    </row>
    <row r="16" customFormat="false" ht="15" hidden="false" customHeight="false" outlineLevel="0" collapsed="false">
      <c r="A16" s="3" t="s">
        <v>125</v>
      </c>
      <c r="B16" s="4" t="s">
        <v>36</v>
      </c>
      <c r="C16" s="4"/>
      <c r="D16" s="4" t="s">
        <v>37</v>
      </c>
      <c r="E16" s="4" t="s">
        <v>38</v>
      </c>
      <c r="F16" s="4" t="s">
        <v>39</v>
      </c>
      <c r="G16" s="4" t="s">
        <v>40</v>
      </c>
      <c r="H16" s="4"/>
      <c r="I16" s="4" t="s">
        <v>126</v>
      </c>
      <c r="J16" s="4" t="s">
        <v>51</v>
      </c>
      <c r="K16" s="4" t="s">
        <v>51</v>
      </c>
      <c r="L16" s="4"/>
      <c r="M16" s="4"/>
      <c r="N16" s="4"/>
      <c r="O16" s="4"/>
      <c r="P16" s="4"/>
      <c r="Q16" s="4"/>
      <c r="R16" s="4"/>
      <c r="S16" s="4"/>
      <c r="T16" s="4"/>
      <c r="U16" s="4" t="s">
        <v>42</v>
      </c>
      <c r="V16" s="4"/>
      <c r="W16" s="4"/>
      <c r="X16" s="4"/>
      <c r="Y16" s="4"/>
      <c r="Z16" s="4"/>
      <c r="AA16" s="4"/>
      <c r="AB16" s="4"/>
      <c r="AC16" s="4"/>
      <c r="AD16" s="4" t="s">
        <v>43</v>
      </c>
      <c r="AE16" s="4"/>
      <c r="AF16" s="4"/>
      <c r="AG16" s="7" t="s">
        <v>127</v>
      </c>
      <c r="AI16" s="7" t="s">
        <v>45</v>
      </c>
    </row>
  </sheetData>
  <autoFilter ref="A1:AI16"/>
  <conditionalFormatting sqref="L2:Q10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conditionalFormatting sqref="L10:Q10">
    <cfRule type="cellIs" priority="4" operator="equal" aboveAverage="0" equalAverage="0" bottom="0" percent="0" rank="0" text="" dxfId="4">
      <formula>"yes"</formula>
    </cfRule>
    <cfRule type="cellIs" priority="5" operator="equal" aboveAverage="0" equalAverage="0" bottom="0" percent="0" rank="0" text="" dxfId="5">
      <formula>"no"</formula>
    </cfRule>
  </conditionalFormatting>
  <conditionalFormatting sqref="L11:Q11">
    <cfRule type="cellIs" priority="6" operator="equal" aboveAverage="0" equalAverage="0" bottom="0" percent="0" rank="0" text="" dxfId="4">
      <formula>"yes"</formula>
    </cfRule>
    <cfRule type="cellIs" priority="7" operator="equal" aboveAverage="0" equalAverage="0" bottom="0" percent="0" rank="0" text="" dxfId="5">
      <formula>"no"</formula>
    </cfRule>
  </conditionalFormatting>
  <conditionalFormatting sqref="L12:Q12">
    <cfRule type="cellIs" priority="8" operator="equal" aboveAverage="0" equalAverage="0" bottom="0" percent="0" rank="0" text="" dxfId="4">
      <formula>"yes"</formula>
    </cfRule>
    <cfRule type="cellIs" priority="9" operator="equal" aboveAverage="0" equalAverage="0" bottom="0" percent="0" rank="0" text="" dxfId="5">
      <formula>"no"</formula>
    </cfRule>
  </conditionalFormatting>
  <conditionalFormatting sqref="L13:Q13">
    <cfRule type="cellIs" priority="10" operator="equal" aboveAverage="0" equalAverage="0" bottom="0" percent="0" rank="0" text="" dxfId="4">
      <formula>"yes"</formula>
    </cfRule>
    <cfRule type="cellIs" priority="11" operator="equal" aboveAverage="0" equalAverage="0" bottom="0" percent="0" rank="0" text="" dxfId="5">
      <formula>"no"</formula>
    </cfRule>
  </conditionalFormatting>
  <conditionalFormatting sqref="L14:Q14">
    <cfRule type="cellIs" priority="12" operator="equal" aboveAverage="0" equalAverage="0" bottom="0" percent="0" rank="0" text="" dxfId="4">
      <formula>"yes"</formula>
    </cfRule>
    <cfRule type="cellIs" priority="13" operator="equal" aboveAverage="0" equalAverage="0" bottom="0" percent="0" rank="0" text="" dxfId="5">
      <formula>"no"</formula>
    </cfRule>
  </conditionalFormatting>
  <conditionalFormatting sqref="L15:Q15">
    <cfRule type="cellIs" priority="14" operator="equal" aboveAverage="0" equalAverage="0" bottom="0" percent="0" rank="0" text="" dxfId="4">
      <formula>"yes"</formula>
    </cfRule>
    <cfRule type="cellIs" priority="15" operator="equal" aboveAverage="0" equalAverage="0" bottom="0" percent="0" rank="0" text="" dxfId="5">
      <formula>"no"</formula>
    </cfRule>
  </conditionalFormatting>
  <conditionalFormatting sqref="L16:Q16">
    <cfRule type="cellIs" priority="16" operator="equal" aboveAverage="0" equalAverage="0" bottom="0" percent="0" rank="0" text="" dxfId="6">
      <formula>"yes"</formula>
    </cfRule>
    <cfRule type="cellIs" priority="17" operator="equal" aboveAverage="0" equalAverage="0" bottom="0" percent="0" rank="0" text="" dxfId="7">
      <formula>"no"</formula>
    </cfRule>
  </conditionalFormatting>
  <hyperlinks>
    <hyperlink ref="AG2" r:id="rId2" display="trial_086_LA_S1"/>
    <hyperlink ref="AI2" r:id="rId3" display="video"/>
    <hyperlink ref="AG3" r:id="rId4" display="trial_087_LA_S2"/>
    <hyperlink ref="AI3" r:id="rId5" display="video"/>
    <hyperlink ref="AG4" r:id="rId6" display="trial_088_LA_S3"/>
    <hyperlink ref="AH4" r:id="rId7" display="viewer"/>
    <hyperlink ref="AI4" r:id="rId8" display="video"/>
    <hyperlink ref="AG5" r:id="rId9" display="trial_089_LA_S4"/>
    <hyperlink ref="AH5" r:id="rId10" display="viewer"/>
    <hyperlink ref="AI5" r:id="rId11" display="video"/>
    <hyperlink ref="AG6" r:id="rId12" display="trial_090_LA_S5"/>
    <hyperlink ref="AH6" r:id="rId13" display="viewer"/>
    <hyperlink ref="AI6" r:id="rId14" display="video"/>
    <hyperlink ref="AG7" r:id="rId15" display="trial_091_LA_S5"/>
    <hyperlink ref="AH7" r:id="rId16" display="viewer"/>
    <hyperlink ref="AI7" r:id="rId17" display="video"/>
    <hyperlink ref="AG8" r:id="rId18" display="trial_092_LA_S1"/>
    <hyperlink ref="AI8" r:id="rId19" display="video"/>
    <hyperlink ref="AG9" r:id="rId20" display="trial_093_LA_S2"/>
    <hyperlink ref="AI9" r:id="rId21" display="video"/>
    <hyperlink ref="AG10" r:id="rId22" display="trial_095_LA_S3"/>
    <hyperlink ref="AH10" r:id="rId23" display="viewer"/>
    <hyperlink ref="AI10" r:id="rId24" display="video"/>
    <hyperlink ref="AG11" r:id="rId25" display="trial_097_LA_S5"/>
    <hyperlink ref="AH11" r:id="rId26" display="viewer"/>
    <hyperlink ref="AI11" r:id="rId27" display="video"/>
    <hyperlink ref="AG12" r:id="rId28" display="trial_096_LA_S4"/>
    <hyperlink ref="AH12" r:id="rId29" display="viewer"/>
    <hyperlink ref="AI12" r:id="rId30" display="video"/>
    <hyperlink ref="AG13" r:id="rId31" display="trial_099_LA_S3"/>
    <hyperlink ref="AH13" r:id="rId32" display="viewer"/>
    <hyperlink ref="AI13" r:id="rId33" display="video"/>
    <hyperlink ref="AG14" r:id="rId34" display="trial_100_LA_S3"/>
    <hyperlink ref="AH14" r:id="rId35" display="viewer"/>
    <hyperlink ref="AI14" r:id="rId36" display="video"/>
    <hyperlink ref="AG15" r:id="rId37" display="trial_101_LA_S4"/>
    <hyperlink ref="AH15" r:id="rId38" display="viewer"/>
    <hyperlink ref="AI15" r:id="rId39" display="video"/>
    <hyperlink ref="AG16" r:id="rId40" display="trial_105_LA_S1"/>
    <hyperlink ref="AI16" r:id="rId41" display="vide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9"/>
    <col collapsed="false" customWidth="true" hidden="false" outlineLevel="0" max="33" min="4" style="1" width="12"/>
    <col collapsed="false" customWidth="true" hidden="false" outlineLevel="0" max="34" min="34" style="1" width="10"/>
    <col collapsed="false" customWidth="true" hidden="false" outlineLevel="0" max="35" min="35" style="1" width="12"/>
  </cols>
  <sheetData>
    <row r="1" customFormat="false" ht="15" hidden="false" customHeight="true" outlineLevel="0" collapsed="false">
      <c r="E1" s="8" t="s">
        <v>128</v>
      </c>
      <c r="F1" s="8" t="s">
        <v>129</v>
      </c>
      <c r="G1" s="9"/>
      <c r="H1" s="9"/>
      <c r="I1" s="9"/>
      <c r="J1" s="8" t="s">
        <v>130</v>
      </c>
      <c r="K1" s="8" t="s">
        <v>131</v>
      </c>
      <c r="L1" s="8" t="s">
        <v>132</v>
      </c>
      <c r="M1" s="9"/>
      <c r="N1" s="9"/>
      <c r="O1" s="9"/>
      <c r="P1" s="8" t="s">
        <v>23</v>
      </c>
      <c r="Q1" s="9"/>
      <c r="R1" s="9"/>
      <c r="S1" s="9"/>
      <c r="T1" s="9"/>
      <c r="U1" s="9"/>
      <c r="V1" s="8" t="s">
        <v>133</v>
      </c>
      <c r="W1" s="9"/>
      <c r="X1" s="9"/>
      <c r="Y1" s="9"/>
      <c r="Z1" s="9"/>
      <c r="AA1" s="8" t="s">
        <v>134</v>
      </c>
      <c r="AB1" s="9"/>
      <c r="AC1" s="9"/>
      <c r="AD1" s="9"/>
      <c r="AE1" s="8" t="s">
        <v>135</v>
      </c>
      <c r="AF1" s="9"/>
    </row>
    <row r="2" customFormat="false" ht="42" hidden="false" customHeight="true" outlineLevel="0" collapsed="false">
      <c r="A2" s="2" t="s">
        <v>0</v>
      </c>
      <c r="B2" s="2" t="s">
        <v>1</v>
      </c>
      <c r="C2" s="2" t="s">
        <v>4</v>
      </c>
      <c r="D2" s="2" t="s">
        <v>20</v>
      </c>
      <c r="E2" s="2" t="s">
        <v>136</v>
      </c>
      <c r="F2" s="2" t="s">
        <v>137</v>
      </c>
      <c r="G2" s="2" t="s">
        <v>138</v>
      </c>
      <c r="H2" s="2" t="s">
        <v>139</v>
      </c>
      <c r="I2" s="2" t="s">
        <v>21</v>
      </c>
      <c r="J2" s="2" t="s">
        <v>140</v>
      </c>
      <c r="K2" s="2" t="s">
        <v>141</v>
      </c>
      <c r="L2" s="2" t="s">
        <v>22</v>
      </c>
      <c r="M2" s="2" t="s">
        <v>142</v>
      </c>
      <c r="N2" s="2" t="s">
        <v>143</v>
      </c>
      <c r="O2" s="2" t="s">
        <v>144</v>
      </c>
      <c r="P2" s="2" t="s">
        <v>23</v>
      </c>
      <c r="Q2" s="2" t="s">
        <v>24</v>
      </c>
      <c r="R2" s="2" t="s">
        <v>145</v>
      </c>
      <c r="S2" s="2" t="s">
        <v>146</v>
      </c>
      <c r="T2" s="2" t="s">
        <v>25</v>
      </c>
      <c r="U2" s="2" t="s">
        <v>147</v>
      </c>
      <c r="V2" s="2" t="s">
        <v>148</v>
      </c>
      <c r="W2" s="2" t="s">
        <v>149</v>
      </c>
      <c r="X2" s="2" t="s">
        <v>150</v>
      </c>
      <c r="Y2" s="2" t="s">
        <v>151</v>
      </c>
      <c r="Z2" s="2" t="s">
        <v>152</v>
      </c>
      <c r="AA2" s="2" t="s">
        <v>26</v>
      </c>
      <c r="AB2" s="2" t="s">
        <v>27</v>
      </c>
      <c r="AC2" s="2" t="s">
        <v>28</v>
      </c>
      <c r="AD2" s="2" t="s">
        <v>153</v>
      </c>
      <c r="AE2" s="2" t="s">
        <v>154</v>
      </c>
      <c r="AF2" s="2" t="s">
        <v>155</v>
      </c>
      <c r="AG2" s="2" t="s">
        <v>156</v>
      </c>
      <c r="AH2" s="2" t="s">
        <v>29</v>
      </c>
      <c r="AI2" s="2" t="s">
        <v>157</v>
      </c>
    </row>
    <row r="3" customFormat="false" ht="15" hidden="false" customHeight="true" outlineLevel="0" collapsed="false">
      <c r="A3" s="10" t="s">
        <v>35</v>
      </c>
      <c r="B3" s="10" t="s">
        <v>36</v>
      </c>
      <c r="C3" s="10" t="s">
        <v>38</v>
      </c>
      <c r="D3" s="10" t="s">
        <v>42</v>
      </c>
      <c r="E3" s="10"/>
      <c r="F3" s="11" t="n">
        <v>1.753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1" t="n">
        <v>0</v>
      </c>
      <c r="AF3" s="11" t="n">
        <v>1</v>
      </c>
      <c r="AG3" s="10"/>
      <c r="AH3" s="10" t="s">
        <v>43</v>
      </c>
      <c r="AI3" s="11" t="n">
        <v>0.234</v>
      </c>
    </row>
    <row r="4" customFormat="false" ht="15" hidden="false" customHeight="true" outlineLevel="0" collapsed="false">
      <c r="A4" s="10" t="s">
        <v>46</v>
      </c>
      <c r="B4" s="10" t="s">
        <v>36</v>
      </c>
      <c r="C4" s="10" t="s">
        <v>47</v>
      </c>
      <c r="D4" s="10" t="s">
        <v>42</v>
      </c>
      <c r="E4" s="10"/>
      <c r="F4" s="11" t="n">
        <v>1.278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1" t="n">
        <v>1</v>
      </c>
      <c r="AF4" s="11" t="n">
        <v>1</v>
      </c>
      <c r="AG4" s="10"/>
      <c r="AH4" s="10" t="s">
        <v>43</v>
      </c>
      <c r="AI4" s="11" t="n">
        <v>0.191</v>
      </c>
    </row>
    <row r="5" customFormat="false" ht="15" hidden="false" customHeight="true" outlineLevel="0" collapsed="false">
      <c r="A5" s="10" t="s">
        <v>53</v>
      </c>
      <c r="B5" s="10" t="s">
        <v>36</v>
      </c>
      <c r="C5" s="10" t="s">
        <v>54</v>
      </c>
      <c r="D5" s="10" t="s">
        <v>42</v>
      </c>
      <c r="E5" s="11" t="n">
        <v>5.21</v>
      </c>
      <c r="F5" s="11" t="n">
        <v>1.301</v>
      </c>
      <c r="G5" s="11" t="n">
        <v>1.312</v>
      </c>
      <c r="H5" s="11" t="n">
        <v>0.011</v>
      </c>
      <c r="I5" s="10" t="s">
        <v>59</v>
      </c>
      <c r="J5" s="11" t="n">
        <v>3.222</v>
      </c>
      <c r="K5" s="11" t="n">
        <v>0.46</v>
      </c>
      <c r="L5" s="10" t="s">
        <v>58</v>
      </c>
      <c r="M5" s="11" t="n">
        <v>2.143</v>
      </c>
      <c r="N5" s="11" t="n">
        <v>0</v>
      </c>
      <c r="O5" s="11" t="n">
        <v>17.257</v>
      </c>
      <c r="P5" s="10" t="s">
        <v>60</v>
      </c>
      <c r="Q5" s="10" t="s">
        <v>58</v>
      </c>
      <c r="R5" s="11" t="n">
        <v>0.751</v>
      </c>
      <c r="S5" s="11" t="n">
        <v>0.209</v>
      </c>
      <c r="T5" s="10" t="s">
        <v>61</v>
      </c>
      <c r="U5" s="11" t="n">
        <v>1</v>
      </c>
      <c r="V5" s="11" t="n">
        <v>2.602</v>
      </c>
      <c r="W5" s="11" t="n">
        <v>1.03</v>
      </c>
      <c r="X5" s="11" t="n">
        <v>6.981</v>
      </c>
      <c r="Y5" s="10"/>
      <c r="Z5" s="11" t="n">
        <v>41.171</v>
      </c>
      <c r="AA5" s="11" t="n">
        <v>32.542</v>
      </c>
      <c r="AB5" s="11" t="n">
        <v>21.106</v>
      </c>
      <c r="AC5" s="11" t="n">
        <v>23.974</v>
      </c>
      <c r="AD5" s="11" t="n">
        <v>45.08</v>
      </c>
      <c r="AE5" s="11" t="n">
        <v>4</v>
      </c>
      <c r="AF5" s="11" t="n">
        <v>4</v>
      </c>
      <c r="AG5" s="10" t="s">
        <v>158</v>
      </c>
      <c r="AH5" s="10" t="s">
        <v>43</v>
      </c>
      <c r="AI5" s="11" t="n">
        <v>0.299</v>
      </c>
    </row>
    <row r="6" customFormat="false" ht="15" hidden="false" customHeight="true" outlineLevel="0" collapsed="false">
      <c r="A6" s="10" t="s">
        <v>66</v>
      </c>
      <c r="B6" s="10" t="s">
        <v>36</v>
      </c>
      <c r="C6" s="10" t="s">
        <v>67</v>
      </c>
      <c r="D6" s="10" t="s">
        <v>42</v>
      </c>
      <c r="E6" s="11" t="n">
        <v>11.901</v>
      </c>
      <c r="F6" s="11" t="n">
        <v>1.229</v>
      </c>
      <c r="G6" s="11" t="n">
        <v>1.235</v>
      </c>
      <c r="H6" s="11" t="n">
        <v>0.006</v>
      </c>
      <c r="I6" s="10" t="s">
        <v>59</v>
      </c>
      <c r="J6" s="11" t="n">
        <v>10.218</v>
      </c>
      <c r="K6" s="11" t="n">
        <v>0.28</v>
      </c>
      <c r="L6" s="10" t="s">
        <v>58</v>
      </c>
      <c r="M6" s="11" t="n">
        <v>2.348</v>
      </c>
      <c r="N6" s="11" t="n">
        <v>0</v>
      </c>
      <c r="O6" s="11" t="n">
        <v>110.713</v>
      </c>
      <c r="P6" s="10" t="s">
        <v>60</v>
      </c>
      <c r="Q6" s="10" t="s">
        <v>58</v>
      </c>
      <c r="R6" s="11" t="n">
        <v>0.594</v>
      </c>
      <c r="S6" s="11" t="n">
        <v>0.153</v>
      </c>
      <c r="T6" s="10" t="s">
        <v>72</v>
      </c>
      <c r="U6" s="11" t="n">
        <v>1</v>
      </c>
      <c r="V6" s="11" t="n">
        <v>2.695</v>
      </c>
      <c r="W6" s="11" t="n">
        <v>0.938</v>
      </c>
      <c r="X6" s="11" t="n">
        <v>7.72</v>
      </c>
      <c r="Y6" s="10"/>
      <c r="Z6" s="11" t="n">
        <v>38.883</v>
      </c>
      <c r="AA6" s="11" t="n">
        <v>37.421</v>
      </c>
      <c r="AB6" s="11" t="n">
        <v>22.598</v>
      </c>
      <c r="AC6" s="11" t="n">
        <v>26.957</v>
      </c>
      <c r="AD6" s="11" t="n">
        <v>49.555</v>
      </c>
      <c r="AE6" s="11" t="n">
        <v>5</v>
      </c>
      <c r="AF6" s="11" t="n">
        <v>5</v>
      </c>
      <c r="AG6" s="10" t="s">
        <v>158</v>
      </c>
      <c r="AH6" s="10" t="s">
        <v>43</v>
      </c>
      <c r="AI6" s="11" t="n">
        <v>0.342</v>
      </c>
    </row>
    <row r="7" customFormat="false" ht="15" hidden="false" customHeight="true" outlineLevel="0" collapsed="false">
      <c r="A7" s="10" t="s">
        <v>75</v>
      </c>
      <c r="B7" s="10" t="s">
        <v>36</v>
      </c>
      <c r="C7" s="10" t="s">
        <v>76</v>
      </c>
      <c r="D7" s="10" t="s">
        <v>42</v>
      </c>
      <c r="E7" s="11" t="n">
        <v>10.304</v>
      </c>
      <c r="F7" s="11" t="n">
        <v>1.291</v>
      </c>
      <c r="G7" s="11" t="n">
        <v>1.297</v>
      </c>
      <c r="H7" s="11" t="n">
        <v>0.006</v>
      </c>
      <c r="I7" s="10" t="s">
        <v>59</v>
      </c>
      <c r="J7" s="11" t="n">
        <v>8.512</v>
      </c>
      <c r="K7" s="11" t="n">
        <v>0.346</v>
      </c>
      <c r="L7" s="10" t="s">
        <v>58</v>
      </c>
      <c r="M7" s="11" t="n">
        <v>2.508</v>
      </c>
      <c r="N7" s="11" t="n">
        <v>0</v>
      </c>
      <c r="O7" s="11" t="n">
        <v>261.074</v>
      </c>
      <c r="P7" s="10" t="s">
        <v>60</v>
      </c>
      <c r="Q7" s="10" t="s">
        <v>58</v>
      </c>
      <c r="R7" s="11" t="n">
        <v>2.609</v>
      </c>
      <c r="S7" s="11" t="n">
        <v>0.136</v>
      </c>
      <c r="T7" s="10" t="s">
        <v>79</v>
      </c>
      <c r="U7" s="11" t="n">
        <v>1</v>
      </c>
      <c r="V7" s="11" t="n">
        <v>2.603</v>
      </c>
      <c r="W7" s="11" t="n">
        <v>1.05</v>
      </c>
      <c r="X7" s="11" t="n">
        <v>7.371</v>
      </c>
      <c r="Y7" s="10"/>
      <c r="Z7" s="11" t="n">
        <v>40.426</v>
      </c>
      <c r="AA7" s="11" t="n">
        <v>37.947</v>
      </c>
      <c r="AB7" s="11" t="n">
        <v>19.917</v>
      </c>
      <c r="AC7" s="11" t="n">
        <v>29.522</v>
      </c>
      <c r="AD7" s="11" t="n">
        <v>49.439</v>
      </c>
      <c r="AE7" s="11" t="n">
        <v>5</v>
      </c>
      <c r="AF7" s="11" t="n">
        <v>4</v>
      </c>
      <c r="AG7" s="10" t="s">
        <v>158</v>
      </c>
      <c r="AH7" s="10" t="s">
        <v>43</v>
      </c>
      <c r="AI7" s="11" t="n">
        <v>0.709</v>
      </c>
    </row>
    <row r="8" customFormat="false" ht="15" hidden="false" customHeight="true" outlineLevel="0" collapsed="false">
      <c r="A8" s="10" t="s">
        <v>82</v>
      </c>
      <c r="B8" s="10" t="s">
        <v>36</v>
      </c>
      <c r="C8" s="10" t="s">
        <v>76</v>
      </c>
      <c r="D8" s="10" t="s">
        <v>85</v>
      </c>
      <c r="E8" s="11" t="n">
        <v>0.511</v>
      </c>
      <c r="F8" s="10"/>
      <c r="G8" s="10"/>
      <c r="H8" s="10"/>
      <c r="I8" s="10"/>
      <c r="J8" s="10"/>
      <c r="K8" s="11" t="n">
        <v>0.343</v>
      </c>
      <c r="L8" s="10" t="s">
        <v>58</v>
      </c>
      <c r="M8" s="11" t="n">
        <v>1.574</v>
      </c>
      <c r="N8" s="11" t="n">
        <v>0</v>
      </c>
      <c r="O8" s="11" t="n">
        <v>67.783</v>
      </c>
      <c r="P8" s="10" t="s">
        <v>60</v>
      </c>
      <c r="Q8" s="10" t="s">
        <v>58</v>
      </c>
      <c r="R8" s="11" t="n">
        <v>0.886</v>
      </c>
      <c r="S8" s="11" t="n">
        <v>0.157</v>
      </c>
      <c r="T8" s="10" t="s">
        <v>86</v>
      </c>
      <c r="U8" s="11" t="n">
        <v>1</v>
      </c>
      <c r="V8" s="11" t="n">
        <v>2.592</v>
      </c>
      <c r="W8" s="11" t="n">
        <v>1.033</v>
      </c>
      <c r="X8" s="11" t="n">
        <v>17.209</v>
      </c>
      <c r="Y8" s="10"/>
      <c r="Z8" s="11" t="n">
        <v>46.561</v>
      </c>
      <c r="AA8" s="11" t="n">
        <v>39.692</v>
      </c>
      <c r="AB8" s="11" t="n">
        <v>28.371</v>
      </c>
      <c r="AC8" s="11" t="n">
        <v>18.701</v>
      </c>
      <c r="AD8" s="11" t="n">
        <v>47.072</v>
      </c>
      <c r="AE8" s="11" t="n">
        <v>3</v>
      </c>
      <c r="AF8" s="11" t="n">
        <v>2</v>
      </c>
      <c r="AG8" s="10" t="s">
        <v>158</v>
      </c>
      <c r="AH8" s="10" t="s">
        <v>43</v>
      </c>
      <c r="AI8" s="11" t="n">
        <v>0.287</v>
      </c>
    </row>
    <row r="9" customFormat="false" ht="15" hidden="false" customHeight="true" outlineLevel="0" collapsed="false">
      <c r="A9" s="10" t="s">
        <v>88</v>
      </c>
      <c r="B9" s="10" t="s">
        <v>36</v>
      </c>
      <c r="C9" s="10" t="s">
        <v>38</v>
      </c>
      <c r="D9" s="10" t="s">
        <v>42</v>
      </c>
      <c r="E9" s="10"/>
      <c r="F9" s="11" t="n">
        <v>1.262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1" t="n">
        <v>0</v>
      </c>
      <c r="AF9" s="11" t="n">
        <v>1</v>
      </c>
      <c r="AG9" s="10"/>
      <c r="AH9" s="10" t="s">
        <v>43</v>
      </c>
      <c r="AI9" s="11" t="n">
        <v>3.106</v>
      </c>
    </row>
    <row r="10" customFormat="false" ht="15" hidden="false" customHeight="true" outlineLevel="0" collapsed="false">
      <c r="A10" s="10" t="s">
        <v>91</v>
      </c>
      <c r="B10" s="10" t="s">
        <v>36</v>
      </c>
      <c r="C10" s="10" t="s">
        <v>47</v>
      </c>
      <c r="D10" s="10" t="s">
        <v>42</v>
      </c>
      <c r="E10" s="10"/>
      <c r="F10" s="11" t="n">
        <v>1.144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1" t="n">
        <v>0</v>
      </c>
      <c r="AF10" s="11" t="n">
        <v>1</v>
      </c>
      <c r="AG10" s="10"/>
      <c r="AH10" s="10" t="s">
        <v>43</v>
      </c>
      <c r="AI10" s="11" t="n">
        <v>0.919</v>
      </c>
    </row>
    <row r="11" customFormat="false" ht="15" hidden="false" customHeight="true" outlineLevel="0" collapsed="false">
      <c r="A11" s="10" t="s">
        <v>159</v>
      </c>
      <c r="B11" s="10" t="s">
        <v>36</v>
      </c>
      <c r="C11" s="10" t="s">
        <v>54</v>
      </c>
      <c r="D11" s="10" t="s">
        <v>42</v>
      </c>
      <c r="E11" s="11" t="n">
        <v>9.442</v>
      </c>
      <c r="F11" s="11" t="n">
        <v>1.631</v>
      </c>
      <c r="G11" s="11" t="n">
        <v>2.867</v>
      </c>
      <c r="H11" s="11" t="n">
        <v>1.236</v>
      </c>
      <c r="I11" s="10" t="s">
        <v>98</v>
      </c>
      <c r="J11" s="11" t="n">
        <v>4.346</v>
      </c>
      <c r="K11" s="11" t="n">
        <v>0.47</v>
      </c>
      <c r="L11" s="10" t="s">
        <v>58</v>
      </c>
      <c r="M11" s="11" t="n">
        <v>1.796</v>
      </c>
      <c r="N11" s="11" t="n">
        <v>0</v>
      </c>
      <c r="O11" s="11" t="n">
        <v>1811.875</v>
      </c>
      <c r="P11" s="10" t="s">
        <v>60</v>
      </c>
      <c r="Q11" s="10" t="s">
        <v>104</v>
      </c>
      <c r="R11" s="11" t="n">
        <v>1.565</v>
      </c>
      <c r="S11" s="11" t="n">
        <v>1.752</v>
      </c>
      <c r="T11" s="10" t="s">
        <v>160</v>
      </c>
      <c r="U11" s="11" t="n">
        <v>1</v>
      </c>
      <c r="V11" s="11" t="n">
        <v>2.62</v>
      </c>
      <c r="W11" s="11" t="n">
        <v>1.01</v>
      </c>
      <c r="X11" s="11" t="n">
        <v>12.801</v>
      </c>
      <c r="Y11" s="10"/>
      <c r="Z11" s="11" t="n">
        <v>37.677</v>
      </c>
      <c r="AA11" s="11" t="n">
        <v>43.736</v>
      </c>
      <c r="AB11" s="11" t="n">
        <v>21.857</v>
      </c>
      <c r="AC11" s="11" t="n">
        <v>23.631</v>
      </c>
      <c r="AD11" s="11" t="n">
        <v>45.488</v>
      </c>
      <c r="AE11" s="11" t="n">
        <v>3</v>
      </c>
      <c r="AF11" s="11" t="n">
        <v>4</v>
      </c>
      <c r="AG11" s="10" t="s">
        <v>158</v>
      </c>
      <c r="AH11" s="10" t="s">
        <v>43</v>
      </c>
      <c r="AI11" s="11" t="n">
        <v>3.191</v>
      </c>
    </row>
    <row r="12" customFormat="false" ht="15" hidden="false" customHeight="true" outlineLevel="0" collapsed="false">
      <c r="A12" s="10" t="s">
        <v>95</v>
      </c>
      <c r="B12" s="10" t="s">
        <v>36</v>
      </c>
      <c r="C12" s="10" t="s">
        <v>54</v>
      </c>
      <c r="D12" s="10" t="s">
        <v>42</v>
      </c>
      <c r="E12" s="11" t="n">
        <v>4.194</v>
      </c>
      <c r="F12" s="11" t="n">
        <v>1.629</v>
      </c>
      <c r="G12" s="11" t="n">
        <v>2.586</v>
      </c>
      <c r="H12" s="11" t="n">
        <v>0.957</v>
      </c>
      <c r="I12" s="10" t="s">
        <v>98</v>
      </c>
      <c r="J12" s="11" t="n">
        <v>1.349</v>
      </c>
      <c r="K12" s="11" t="n">
        <v>0.141</v>
      </c>
      <c r="L12" s="10" t="s">
        <v>58</v>
      </c>
      <c r="M12" s="11" t="n">
        <v>1.336</v>
      </c>
      <c r="N12" s="11" t="n">
        <v>0</v>
      </c>
      <c r="O12" s="11" t="n">
        <v>34.711</v>
      </c>
      <c r="P12" s="10" t="s">
        <v>60</v>
      </c>
      <c r="Q12" s="10" t="s">
        <v>58</v>
      </c>
      <c r="R12" s="11" t="n">
        <v>3.04</v>
      </c>
      <c r="S12" s="11" t="n">
        <v>0.106</v>
      </c>
      <c r="T12" s="10" t="s">
        <v>99</v>
      </c>
      <c r="U12" s="11" t="n">
        <v>1</v>
      </c>
      <c r="V12" s="11" t="n">
        <v>2.643</v>
      </c>
      <c r="W12" s="11" t="n">
        <v>0.974</v>
      </c>
      <c r="X12" s="11" t="n">
        <v>8.196</v>
      </c>
      <c r="Y12" s="10"/>
      <c r="Z12" s="11" t="n">
        <v>36.647</v>
      </c>
      <c r="AA12" s="11" t="n">
        <v>29.932</v>
      </c>
      <c r="AB12" s="11" t="n">
        <v>20.712</v>
      </c>
      <c r="AC12" s="11" t="n">
        <v>18.5</v>
      </c>
      <c r="AD12" s="11" t="n">
        <v>39.212</v>
      </c>
      <c r="AE12" s="11" t="n">
        <v>4</v>
      </c>
      <c r="AF12" s="11" t="n">
        <v>4</v>
      </c>
      <c r="AG12" s="10" t="s">
        <v>158</v>
      </c>
      <c r="AH12" s="10" t="s">
        <v>43</v>
      </c>
      <c r="AI12" s="11" t="n">
        <v>0.281</v>
      </c>
    </row>
    <row r="13" customFormat="false" ht="15" hidden="false" customHeight="true" outlineLevel="0" collapsed="false">
      <c r="A13" s="10" t="s">
        <v>102</v>
      </c>
      <c r="B13" s="10" t="s">
        <v>36</v>
      </c>
      <c r="C13" s="10" t="s">
        <v>76</v>
      </c>
      <c r="D13" s="10" t="s">
        <v>42</v>
      </c>
      <c r="E13" s="11" t="n">
        <v>12.254</v>
      </c>
      <c r="F13" s="11" t="n">
        <v>2.379</v>
      </c>
      <c r="G13" s="11" t="n">
        <v>3.504</v>
      </c>
      <c r="H13" s="11" t="n">
        <v>1.125</v>
      </c>
      <c r="I13" s="10" t="s">
        <v>98</v>
      </c>
      <c r="J13" s="11" t="n">
        <v>7.584</v>
      </c>
      <c r="K13" s="11" t="n">
        <v>0.186</v>
      </c>
      <c r="L13" s="10" t="s">
        <v>58</v>
      </c>
      <c r="M13" s="11" t="n">
        <v>0.965</v>
      </c>
      <c r="N13" s="11" t="n">
        <v>0</v>
      </c>
      <c r="O13" s="11" t="n">
        <v>702.242</v>
      </c>
      <c r="P13" s="10" t="s">
        <v>60</v>
      </c>
      <c r="Q13" s="10" t="s">
        <v>104</v>
      </c>
      <c r="R13" s="11" t="n">
        <v>0.772</v>
      </c>
      <c r="S13" s="11" t="n">
        <v>0.971</v>
      </c>
      <c r="T13" s="10" t="s">
        <v>105</v>
      </c>
      <c r="U13" s="11" t="n">
        <v>1</v>
      </c>
      <c r="V13" s="11" t="n">
        <v>2.597</v>
      </c>
      <c r="W13" s="11" t="n">
        <v>1.026</v>
      </c>
      <c r="X13" s="11" t="n">
        <v>7.951</v>
      </c>
      <c r="Y13" s="10"/>
      <c r="Z13" s="11" t="n">
        <v>34.518</v>
      </c>
      <c r="AA13" s="11" t="n">
        <v>39.29</v>
      </c>
      <c r="AB13" s="11" t="n">
        <v>16.688</v>
      </c>
      <c r="AC13" s="11" t="n">
        <v>27.705</v>
      </c>
      <c r="AD13" s="11" t="n">
        <v>44.393</v>
      </c>
      <c r="AE13" s="11" t="n">
        <v>4</v>
      </c>
      <c r="AF13" s="11" t="n">
        <v>3</v>
      </c>
      <c r="AG13" s="10" t="s">
        <v>158</v>
      </c>
      <c r="AH13" s="10" t="s">
        <v>43</v>
      </c>
      <c r="AI13" s="11" t="n">
        <v>0.246</v>
      </c>
    </row>
    <row r="14" customFormat="false" ht="15" hidden="false" customHeight="true" outlineLevel="0" collapsed="false">
      <c r="A14" s="10" t="s">
        <v>107</v>
      </c>
      <c r="B14" s="10" t="s">
        <v>36</v>
      </c>
      <c r="C14" s="10" t="s">
        <v>67</v>
      </c>
      <c r="D14" s="10" t="s">
        <v>42</v>
      </c>
      <c r="E14" s="11" t="n">
        <v>12.069</v>
      </c>
      <c r="F14" s="11" t="n">
        <v>1.237</v>
      </c>
      <c r="G14" s="11" t="n">
        <v>1.24</v>
      </c>
      <c r="H14" s="11" t="n">
        <v>0.003</v>
      </c>
      <c r="I14" s="10" t="s">
        <v>59</v>
      </c>
      <c r="J14" s="11" t="n">
        <v>10.393</v>
      </c>
      <c r="K14" s="11" t="n">
        <v>0.255</v>
      </c>
      <c r="L14" s="10" t="s">
        <v>58</v>
      </c>
      <c r="M14" s="11" t="n">
        <v>1.528</v>
      </c>
      <c r="N14" s="11" t="n">
        <v>0</v>
      </c>
      <c r="O14" s="11" t="n">
        <v>32.252</v>
      </c>
      <c r="P14" s="10" t="s">
        <v>60</v>
      </c>
      <c r="Q14" s="10" t="s">
        <v>58</v>
      </c>
      <c r="R14" s="11" t="n">
        <v>0.878</v>
      </c>
      <c r="S14" s="11" t="n">
        <v>0.162</v>
      </c>
      <c r="T14" s="10" t="s">
        <v>109</v>
      </c>
      <c r="U14" s="11" t="n">
        <v>1</v>
      </c>
      <c r="V14" s="11" t="n">
        <v>2.594</v>
      </c>
      <c r="W14" s="11" t="n">
        <v>1.033</v>
      </c>
      <c r="X14" s="11" t="n">
        <v>6.6</v>
      </c>
      <c r="Y14" s="10"/>
      <c r="Z14" s="11" t="n">
        <v>29.784</v>
      </c>
      <c r="AA14" s="11" t="n">
        <v>38.474</v>
      </c>
      <c r="AB14" s="11" t="n">
        <v>14.79</v>
      </c>
      <c r="AC14" s="11" t="n">
        <v>25.826</v>
      </c>
      <c r="AD14" s="11" t="n">
        <v>40.616</v>
      </c>
      <c r="AE14" s="11" t="n">
        <v>4</v>
      </c>
      <c r="AF14" s="11" t="n">
        <v>4</v>
      </c>
      <c r="AG14" s="10" t="s">
        <v>158</v>
      </c>
      <c r="AH14" s="10" t="s">
        <v>43</v>
      </c>
      <c r="AI14" s="11" t="n">
        <v>0.298</v>
      </c>
    </row>
    <row r="15" customFormat="false" ht="15" hidden="false" customHeight="true" outlineLevel="0" collapsed="false">
      <c r="A15" s="10" t="s">
        <v>112</v>
      </c>
      <c r="B15" s="10" t="s">
        <v>36</v>
      </c>
      <c r="C15" s="10" t="s">
        <v>54</v>
      </c>
      <c r="D15" s="10" t="s">
        <v>42</v>
      </c>
      <c r="E15" s="11" t="n">
        <v>2.966</v>
      </c>
      <c r="F15" s="11" t="n">
        <v>1.35</v>
      </c>
      <c r="G15" s="11" t="n">
        <v>1.357</v>
      </c>
      <c r="H15" s="11" t="n">
        <v>0.007</v>
      </c>
      <c r="I15" s="10" t="s">
        <v>59</v>
      </c>
      <c r="J15" s="11" t="n">
        <v>1.2</v>
      </c>
      <c r="K15" s="11" t="n">
        <v>0.216</v>
      </c>
      <c r="L15" s="10" t="s">
        <v>58</v>
      </c>
      <c r="M15" s="11" t="n">
        <v>1.764</v>
      </c>
      <c r="N15" s="11" t="n">
        <v>0</v>
      </c>
      <c r="O15" s="11" t="n">
        <v>92.917</v>
      </c>
      <c r="P15" s="10" t="s">
        <v>60</v>
      </c>
      <c r="Q15" s="10" t="s">
        <v>58</v>
      </c>
      <c r="R15" s="11" t="n">
        <v>1.958</v>
      </c>
      <c r="S15" s="11" t="n">
        <v>0.176</v>
      </c>
      <c r="T15" s="10" t="s">
        <v>114</v>
      </c>
      <c r="U15" s="11" t="n">
        <v>1</v>
      </c>
      <c r="V15" s="11" t="n">
        <v>2.595</v>
      </c>
      <c r="W15" s="11" t="n">
        <v>1.031</v>
      </c>
      <c r="X15" s="11" t="n">
        <v>5.999</v>
      </c>
      <c r="Y15" s="10"/>
      <c r="Z15" s="11" t="n">
        <v>40.669</v>
      </c>
      <c r="AA15" s="11" t="n">
        <v>25.188</v>
      </c>
      <c r="AB15" s="11" t="n">
        <v>21.286</v>
      </c>
      <c r="AC15" s="11" t="n">
        <v>20.999</v>
      </c>
      <c r="AD15" s="11" t="n">
        <v>42.285</v>
      </c>
      <c r="AE15" s="11" t="n">
        <v>4</v>
      </c>
      <c r="AF15" s="11" t="n">
        <v>5</v>
      </c>
      <c r="AG15" s="10" t="s">
        <v>158</v>
      </c>
      <c r="AH15" s="10" t="s">
        <v>43</v>
      </c>
      <c r="AI15" s="11" t="n">
        <v>0.292</v>
      </c>
    </row>
    <row r="16" customFormat="false" ht="15" hidden="false" customHeight="true" outlineLevel="0" collapsed="false">
      <c r="A16" s="10" t="s">
        <v>116</v>
      </c>
      <c r="B16" s="10" t="s">
        <v>36</v>
      </c>
      <c r="C16" s="10" t="s">
        <v>54</v>
      </c>
      <c r="D16" s="10" t="s">
        <v>42</v>
      </c>
      <c r="E16" s="11" t="n">
        <v>6.371</v>
      </c>
      <c r="F16" s="11" t="n">
        <v>3.626</v>
      </c>
      <c r="G16" s="11" t="n">
        <v>4.718</v>
      </c>
      <c r="H16" s="11" t="n">
        <v>1.092</v>
      </c>
      <c r="I16" s="10" t="s">
        <v>98</v>
      </c>
      <c r="J16" s="11" t="n">
        <v>1.241</v>
      </c>
      <c r="K16" s="11" t="n">
        <v>0.263</v>
      </c>
      <c r="L16" s="10" t="s">
        <v>58</v>
      </c>
      <c r="M16" s="11" t="n">
        <v>3.618</v>
      </c>
      <c r="N16" s="11" t="n">
        <v>0</v>
      </c>
      <c r="O16" s="11" t="n">
        <v>47.336</v>
      </c>
      <c r="P16" s="10" t="s">
        <v>60</v>
      </c>
      <c r="Q16" s="10" t="s">
        <v>58</v>
      </c>
      <c r="R16" s="11" t="n">
        <v>5.956</v>
      </c>
      <c r="S16" s="11" t="n">
        <v>0.145</v>
      </c>
      <c r="T16" s="10" t="s">
        <v>118</v>
      </c>
      <c r="U16" s="11" t="n">
        <v>1</v>
      </c>
      <c r="V16" s="11" t="n">
        <v>2.598</v>
      </c>
      <c r="W16" s="11" t="n">
        <v>1.022</v>
      </c>
      <c r="X16" s="11" t="n">
        <v>8.836</v>
      </c>
      <c r="Y16" s="10"/>
      <c r="Z16" s="11" t="n">
        <v>30.779</v>
      </c>
      <c r="AA16" s="11" t="n">
        <v>33.765</v>
      </c>
      <c r="AB16" s="11" t="n">
        <v>15.565</v>
      </c>
      <c r="AC16" s="11" t="n">
        <v>17.959</v>
      </c>
      <c r="AD16" s="11" t="n">
        <v>33.524</v>
      </c>
      <c r="AE16" s="11" t="n">
        <v>3</v>
      </c>
      <c r="AF16" s="11" t="n">
        <v>3</v>
      </c>
      <c r="AG16" s="10" t="s">
        <v>158</v>
      </c>
      <c r="AH16" s="10" t="s">
        <v>43</v>
      </c>
      <c r="AI16" s="11" t="n">
        <v>3.122</v>
      </c>
    </row>
    <row r="17" customFormat="false" ht="15" hidden="false" customHeight="true" outlineLevel="0" collapsed="false">
      <c r="A17" s="10" t="s">
        <v>120</v>
      </c>
      <c r="B17" s="10" t="s">
        <v>36</v>
      </c>
      <c r="C17" s="10" t="s">
        <v>67</v>
      </c>
      <c r="D17" s="10" t="s">
        <v>42</v>
      </c>
      <c r="E17" s="11" t="n">
        <v>21.338</v>
      </c>
      <c r="F17" s="11" t="n">
        <v>3.289</v>
      </c>
      <c r="G17" s="11" t="n">
        <v>3.321</v>
      </c>
      <c r="H17" s="11" t="n">
        <v>0.032</v>
      </c>
      <c r="I17" s="10" t="s">
        <v>59</v>
      </c>
      <c r="J17" s="11" t="n">
        <v>17.573</v>
      </c>
      <c r="K17" s="11" t="n">
        <v>0.247</v>
      </c>
      <c r="L17" s="10" t="s">
        <v>58</v>
      </c>
      <c r="M17" s="11" t="n">
        <v>2.562</v>
      </c>
      <c r="N17" s="11" t="n">
        <v>0</v>
      </c>
      <c r="O17" s="11" t="n">
        <v>53.718</v>
      </c>
      <c r="P17" s="10" t="s">
        <v>60</v>
      </c>
      <c r="Q17" s="10" t="s">
        <v>58</v>
      </c>
      <c r="R17" s="11" t="n">
        <v>0.859</v>
      </c>
      <c r="S17" s="11" t="n">
        <v>0.183</v>
      </c>
      <c r="T17" s="10" t="s">
        <v>123</v>
      </c>
      <c r="U17" s="11" t="n">
        <v>1</v>
      </c>
      <c r="V17" s="11" t="n">
        <v>2.588</v>
      </c>
      <c r="W17" s="11" t="n">
        <v>1.036</v>
      </c>
      <c r="X17" s="11" t="n">
        <v>7.665</v>
      </c>
      <c r="Y17" s="10"/>
      <c r="Z17" s="11" t="n">
        <v>63.178</v>
      </c>
      <c r="AA17" s="11" t="n">
        <v>62.726</v>
      </c>
      <c r="AB17" s="11" t="n">
        <v>34.836</v>
      </c>
      <c r="AC17" s="11" t="n">
        <v>46.391</v>
      </c>
      <c r="AD17" s="11" t="n">
        <v>81.227</v>
      </c>
      <c r="AE17" s="11" t="n">
        <v>10</v>
      </c>
      <c r="AF17" s="11" t="n">
        <v>10</v>
      </c>
      <c r="AG17" s="10" t="s">
        <v>158</v>
      </c>
      <c r="AH17" s="10" t="s">
        <v>43</v>
      </c>
      <c r="AI17" s="11" t="n">
        <v>0.359</v>
      </c>
    </row>
    <row r="18" customFormat="false" ht="15" hidden="false" customHeight="false" outlineLevel="0" collapsed="false">
      <c r="A18" s="12" t="s">
        <v>125</v>
      </c>
      <c r="B18" s="12" t="s">
        <v>36</v>
      </c>
      <c r="C18" s="12" t="s">
        <v>38</v>
      </c>
      <c r="D18" s="12" t="s">
        <v>42</v>
      </c>
      <c r="E18" s="12"/>
      <c r="F18" s="13" t="n">
        <v>1.41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3" t="n">
        <v>0</v>
      </c>
      <c r="AF18" s="13" t="n">
        <v>1</v>
      </c>
      <c r="AG18" s="12"/>
      <c r="AH18" s="12" t="s">
        <v>43</v>
      </c>
      <c r="AI18" s="13" t="n">
        <v>0.846</v>
      </c>
    </row>
  </sheetData>
  <autoFilter ref="A2:AI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1"/>
    <col collapsed="false" customWidth="true" hidden="false" outlineLevel="0" max="4" min="4" style="1" width="14"/>
    <col collapsed="false" customWidth="true" hidden="false" outlineLevel="0" max="5" min="5" style="1" width="9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161</v>
      </c>
      <c r="D1" s="2" t="s">
        <v>162</v>
      </c>
      <c r="E1" s="2" t="s">
        <v>163</v>
      </c>
    </row>
    <row r="2" customFormat="false" ht="15" hidden="false" customHeight="true" outlineLevel="0" collapsed="false">
      <c r="A2" s="4" t="s">
        <v>35</v>
      </c>
      <c r="B2" s="4" t="s">
        <v>36</v>
      </c>
      <c r="C2" s="6" t="n">
        <v>4.584</v>
      </c>
      <c r="D2" s="14" t="s">
        <v>164</v>
      </c>
      <c r="E2" s="15" t="s">
        <v>41</v>
      </c>
    </row>
    <row r="3" customFormat="false" ht="15" hidden="false" customHeight="true" outlineLevel="0" collapsed="false">
      <c r="A3" s="4" t="s">
        <v>35</v>
      </c>
      <c r="B3" s="4" t="s">
        <v>36</v>
      </c>
      <c r="C3" s="6" t="n">
        <v>5.974</v>
      </c>
      <c r="D3" s="4" t="s">
        <v>165</v>
      </c>
      <c r="E3" s="15" t="s">
        <v>166</v>
      </c>
    </row>
    <row r="4" customFormat="false" ht="15" hidden="false" customHeight="true" outlineLevel="0" collapsed="false">
      <c r="A4" s="4" t="s">
        <v>46</v>
      </c>
      <c r="B4" s="4" t="s">
        <v>36</v>
      </c>
      <c r="C4" s="6" t="n">
        <v>4.024</v>
      </c>
      <c r="D4" s="14" t="s">
        <v>164</v>
      </c>
      <c r="E4" s="15" t="s">
        <v>49</v>
      </c>
    </row>
    <row r="5" customFormat="false" ht="15" hidden="false" customHeight="true" outlineLevel="0" collapsed="false">
      <c r="A5" s="4" t="s">
        <v>46</v>
      </c>
      <c r="B5" s="4" t="s">
        <v>36</v>
      </c>
      <c r="C5" s="6" t="n">
        <v>5.266</v>
      </c>
      <c r="D5" s="4" t="s">
        <v>165</v>
      </c>
      <c r="E5" s="15" t="s">
        <v>167</v>
      </c>
    </row>
    <row r="6" customFormat="false" ht="15" hidden="false" customHeight="true" outlineLevel="0" collapsed="false">
      <c r="A6" s="4" t="s">
        <v>46</v>
      </c>
      <c r="B6" s="4" t="s">
        <v>36</v>
      </c>
      <c r="C6" s="6" t="n">
        <v>8.114</v>
      </c>
      <c r="D6" s="4" t="s">
        <v>165</v>
      </c>
      <c r="E6" s="15" t="s">
        <v>166</v>
      </c>
    </row>
    <row r="7" customFormat="false" ht="15" hidden="false" customHeight="true" outlineLevel="0" collapsed="false">
      <c r="A7" s="4" t="s">
        <v>46</v>
      </c>
      <c r="B7" s="4" t="s">
        <v>36</v>
      </c>
      <c r="C7" s="6" t="n">
        <v>13.78</v>
      </c>
      <c r="D7" s="4" t="s">
        <v>165</v>
      </c>
      <c r="E7" s="15" t="s">
        <v>168</v>
      </c>
    </row>
    <row r="8" customFormat="false" ht="15" hidden="false" customHeight="true" outlineLevel="0" collapsed="false">
      <c r="A8" s="4" t="s">
        <v>53</v>
      </c>
      <c r="B8" s="4" t="s">
        <v>36</v>
      </c>
      <c r="C8" s="6" t="n">
        <v>4.529</v>
      </c>
      <c r="D8" s="14" t="s">
        <v>164</v>
      </c>
      <c r="E8" s="15" t="s">
        <v>56</v>
      </c>
    </row>
    <row r="9" customFormat="false" ht="15" hidden="false" customHeight="true" outlineLevel="0" collapsed="false">
      <c r="A9" s="4" t="s">
        <v>53</v>
      </c>
      <c r="B9" s="4" t="s">
        <v>36</v>
      </c>
      <c r="C9" s="6" t="n">
        <v>4.54</v>
      </c>
      <c r="D9" s="4" t="s">
        <v>169</v>
      </c>
      <c r="E9" s="15" t="s">
        <v>170</v>
      </c>
    </row>
    <row r="10" customFormat="false" ht="15" hidden="false" customHeight="true" outlineLevel="0" collapsed="false">
      <c r="A10" s="4" t="s">
        <v>53</v>
      </c>
      <c r="B10" s="4" t="s">
        <v>36</v>
      </c>
      <c r="C10" s="6" t="n">
        <v>8.4</v>
      </c>
      <c r="D10" s="4" t="s">
        <v>165</v>
      </c>
      <c r="E10" s="15" t="s">
        <v>171</v>
      </c>
    </row>
    <row r="11" customFormat="false" ht="15" hidden="false" customHeight="true" outlineLevel="0" collapsed="false">
      <c r="A11" s="4" t="s">
        <v>53</v>
      </c>
      <c r="B11" s="4" t="s">
        <v>36</v>
      </c>
      <c r="C11" s="6" t="n">
        <v>13.984</v>
      </c>
      <c r="D11" s="4" t="s">
        <v>165</v>
      </c>
      <c r="E11" s="15" t="s">
        <v>172</v>
      </c>
    </row>
    <row r="12" customFormat="false" ht="15" hidden="false" customHeight="true" outlineLevel="0" collapsed="false">
      <c r="A12" s="4" t="s">
        <v>53</v>
      </c>
      <c r="B12" s="4" t="s">
        <v>36</v>
      </c>
      <c r="C12" s="6" t="n">
        <v>20.882</v>
      </c>
      <c r="D12" s="14" t="s">
        <v>164</v>
      </c>
      <c r="E12" s="15" t="s">
        <v>84</v>
      </c>
    </row>
    <row r="13" customFormat="false" ht="15" hidden="false" customHeight="true" outlineLevel="0" collapsed="false">
      <c r="A13" s="4" t="s">
        <v>53</v>
      </c>
      <c r="B13" s="4" t="s">
        <v>36</v>
      </c>
      <c r="C13" s="6" t="n">
        <v>20.9</v>
      </c>
      <c r="D13" s="4" t="s">
        <v>169</v>
      </c>
      <c r="E13" s="15" t="s">
        <v>57</v>
      </c>
    </row>
    <row r="14" customFormat="false" ht="15" hidden="false" customHeight="true" outlineLevel="0" collapsed="false">
      <c r="A14" s="4" t="s">
        <v>53</v>
      </c>
      <c r="B14" s="4" t="s">
        <v>36</v>
      </c>
      <c r="C14" s="6" t="n">
        <v>20.971</v>
      </c>
      <c r="D14" s="4" t="s">
        <v>165</v>
      </c>
      <c r="E14" s="15" t="s">
        <v>173</v>
      </c>
    </row>
    <row r="15" customFormat="false" ht="15" hidden="false" customHeight="true" outlineLevel="0" collapsed="false">
      <c r="A15" s="4" t="s">
        <v>53</v>
      </c>
      <c r="B15" s="4" t="s">
        <v>36</v>
      </c>
      <c r="C15" s="6" t="n">
        <v>26.04</v>
      </c>
      <c r="D15" s="4" t="s">
        <v>165</v>
      </c>
      <c r="E15" s="15" t="s">
        <v>174</v>
      </c>
    </row>
    <row r="16" customFormat="false" ht="15" hidden="false" customHeight="true" outlineLevel="0" collapsed="false">
      <c r="A16" s="4" t="s">
        <v>53</v>
      </c>
      <c r="B16" s="4" t="s">
        <v>36</v>
      </c>
      <c r="C16" s="6" t="n">
        <v>34.921</v>
      </c>
      <c r="D16" s="14" t="s">
        <v>164</v>
      </c>
      <c r="E16" s="15" t="s">
        <v>175</v>
      </c>
    </row>
    <row r="17" customFormat="false" ht="15" hidden="false" customHeight="true" outlineLevel="0" collapsed="false">
      <c r="A17" s="4" t="s">
        <v>53</v>
      </c>
      <c r="B17" s="4" t="s">
        <v>36</v>
      </c>
      <c r="C17" s="6" t="n">
        <v>34.988</v>
      </c>
      <c r="D17" s="4" t="s">
        <v>169</v>
      </c>
      <c r="E17" s="15" t="s">
        <v>176</v>
      </c>
    </row>
    <row r="18" customFormat="false" ht="15" hidden="false" customHeight="true" outlineLevel="0" collapsed="false">
      <c r="A18" s="4" t="s">
        <v>53</v>
      </c>
      <c r="B18" s="4" t="s">
        <v>36</v>
      </c>
      <c r="C18" s="6" t="n">
        <v>35.032</v>
      </c>
      <c r="D18" s="4" t="s">
        <v>165</v>
      </c>
      <c r="E18" s="15" t="s">
        <v>177</v>
      </c>
    </row>
    <row r="19" customFormat="false" ht="15" hidden="false" customHeight="true" outlineLevel="0" collapsed="false">
      <c r="A19" s="4" t="s">
        <v>53</v>
      </c>
      <c r="B19" s="4" t="s">
        <v>36</v>
      </c>
      <c r="C19" s="6" t="n">
        <v>38.779</v>
      </c>
      <c r="D19" s="4" t="s">
        <v>165</v>
      </c>
      <c r="E19" s="15" t="s">
        <v>178</v>
      </c>
    </row>
    <row r="20" customFormat="false" ht="15" hidden="false" customHeight="true" outlineLevel="0" collapsed="false">
      <c r="A20" s="4" t="s">
        <v>53</v>
      </c>
      <c r="B20" s="4" t="s">
        <v>36</v>
      </c>
      <c r="C20" s="6" t="n">
        <v>43.952</v>
      </c>
      <c r="D20" s="14" t="s">
        <v>164</v>
      </c>
      <c r="E20" s="15" t="s">
        <v>179</v>
      </c>
    </row>
    <row r="21" customFormat="false" ht="15" hidden="false" customHeight="true" outlineLevel="0" collapsed="false">
      <c r="A21" s="4" t="s">
        <v>53</v>
      </c>
      <c r="B21" s="4" t="s">
        <v>36</v>
      </c>
      <c r="C21" s="6" t="n">
        <v>44.002</v>
      </c>
      <c r="D21" s="4" t="s">
        <v>169</v>
      </c>
      <c r="E21" s="15" t="s">
        <v>180</v>
      </c>
    </row>
    <row r="22" customFormat="false" ht="15" hidden="false" customHeight="true" outlineLevel="0" collapsed="false">
      <c r="A22" s="4" t="s">
        <v>53</v>
      </c>
      <c r="B22" s="4" t="s">
        <v>36</v>
      </c>
      <c r="C22" s="6" t="n">
        <v>44.019</v>
      </c>
      <c r="D22" s="4" t="s">
        <v>165</v>
      </c>
      <c r="E22" s="15" t="s">
        <v>181</v>
      </c>
    </row>
    <row r="23" customFormat="false" ht="15" hidden="false" customHeight="true" outlineLevel="0" collapsed="false">
      <c r="A23" s="4" t="s">
        <v>53</v>
      </c>
      <c r="B23" s="4" t="s">
        <v>36</v>
      </c>
      <c r="C23" s="6" t="n">
        <v>49.626</v>
      </c>
      <c r="D23" s="4" t="s">
        <v>165</v>
      </c>
      <c r="E23" s="15" t="s">
        <v>182</v>
      </c>
    </row>
    <row r="24" customFormat="false" ht="15" hidden="false" customHeight="true" outlineLevel="0" collapsed="false">
      <c r="A24" s="4" t="s">
        <v>66</v>
      </c>
      <c r="B24" s="4" t="s">
        <v>36</v>
      </c>
      <c r="C24" s="6" t="n">
        <v>11.755</v>
      </c>
      <c r="D24" s="14" t="s">
        <v>164</v>
      </c>
      <c r="E24" s="15" t="s">
        <v>69</v>
      </c>
    </row>
    <row r="25" customFormat="false" ht="15" hidden="false" customHeight="true" outlineLevel="0" collapsed="false">
      <c r="A25" s="4" t="s">
        <v>66</v>
      </c>
      <c r="B25" s="4" t="s">
        <v>36</v>
      </c>
      <c r="C25" s="6" t="n">
        <v>11.761</v>
      </c>
      <c r="D25" s="4" t="s">
        <v>169</v>
      </c>
      <c r="E25" s="15" t="s">
        <v>183</v>
      </c>
    </row>
    <row r="26" customFormat="false" ht="15" hidden="false" customHeight="true" outlineLevel="0" collapsed="false">
      <c r="A26" s="4" t="s">
        <v>66</v>
      </c>
      <c r="B26" s="4" t="s">
        <v>36</v>
      </c>
      <c r="C26" s="6" t="n">
        <v>11.815</v>
      </c>
      <c r="D26" s="4" t="s">
        <v>165</v>
      </c>
      <c r="E26" s="15" t="s">
        <v>184</v>
      </c>
    </row>
    <row r="27" customFormat="false" ht="15" hidden="false" customHeight="true" outlineLevel="0" collapsed="false">
      <c r="A27" s="4" t="s">
        <v>66</v>
      </c>
      <c r="B27" s="4" t="s">
        <v>36</v>
      </c>
      <c r="C27" s="6" t="n">
        <v>20.618</v>
      </c>
      <c r="D27" s="14" t="s">
        <v>164</v>
      </c>
      <c r="E27" s="15" t="s">
        <v>185</v>
      </c>
    </row>
    <row r="28" customFormat="false" ht="15" hidden="false" customHeight="true" outlineLevel="0" collapsed="false">
      <c r="A28" s="4" t="s">
        <v>66</v>
      </c>
      <c r="B28" s="4" t="s">
        <v>36</v>
      </c>
      <c r="C28" s="6" t="n">
        <v>21.632</v>
      </c>
      <c r="D28" s="4" t="s">
        <v>169</v>
      </c>
      <c r="E28" s="15" t="s">
        <v>186</v>
      </c>
    </row>
    <row r="29" customFormat="false" ht="15" hidden="false" customHeight="true" outlineLevel="0" collapsed="false">
      <c r="A29" s="4" t="s">
        <v>66</v>
      </c>
      <c r="B29" s="4" t="s">
        <v>36</v>
      </c>
      <c r="C29" s="6" t="n">
        <v>21.687</v>
      </c>
      <c r="D29" s="4" t="s">
        <v>165</v>
      </c>
      <c r="E29" s="15" t="s">
        <v>187</v>
      </c>
    </row>
    <row r="30" customFormat="false" ht="15" hidden="false" customHeight="true" outlineLevel="0" collapsed="false">
      <c r="A30" s="4" t="s">
        <v>66</v>
      </c>
      <c r="B30" s="4" t="s">
        <v>36</v>
      </c>
      <c r="C30" s="6" t="n">
        <v>24.057</v>
      </c>
      <c r="D30" s="4" t="s">
        <v>165</v>
      </c>
      <c r="E30" s="15" t="s">
        <v>188</v>
      </c>
    </row>
    <row r="31" customFormat="false" ht="15" hidden="false" customHeight="true" outlineLevel="0" collapsed="false">
      <c r="A31" s="4" t="s">
        <v>66</v>
      </c>
      <c r="B31" s="4" t="s">
        <v>36</v>
      </c>
      <c r="C31" s="6" t="n">
        <v>27.467</v>
      </c>
      <c r="D31" s="4" t="s">
        <v>165</v>
      </c>
      <c r="E31" s="15" t="s">
        <v>189</v>
      </c>
    </row>
    <row r="32" customFormat="false" ht="15" hidden="false" customHeight="true" outlineLevel="0" collapsed="false">
      <c r="A32" s="4" t="s">
        <v>66</v>
      </c>
      <c r="B32" s="4" t="s">
        <v>36</v>
      </c>
      <c r="C32" s="6" t="n">
        <v>35.119</v>
      </c>
      <c r="D32" s="14" t="s">
        <v>164</v>
      </c>
      <c r="E32" s="15" t="s">
        <v>190</v>
      </c>
    </row>
    <row r="33" customFormat="false" ht="15" hidden="false" customHeight="true" outlineLevel="0" collapsed="false">
      <c r="A33" s="4" t="s">
        <v>66</v>
      </c>
      <c r="B33" s="4" t="s">
        <v>36</v>
      </c>
      <c r="C33" s="6" t="n">
        <v>35.125</v>
      </c>
      <c r="D33" s="4" t="s">
        <v>169</v>
      </c>
      <c r="E33" s="15" t="s">
        <v>71</v>
      </c>
    </row>
    <row r="34" customFormat="false" ht="15" hidden="false" customHeight="true" outlineLevel="0" collapsed="false">
      <c r="A34" s="4" t="s">
        <v>66</v>
      </c>
      <c r="B34" s="4" t="s">
        <v>36</v>
      </c>
      <c r="C34" s="6" t="n">
        <v>35.188</v>
      </c>
      <c r="D34" s="4" t="s">
        <v>165</v>
      </c>
      <c r="E34" s="15" t="s">
        <v>191</v>
      </c>
    </row>
    <row r="35" customFormat="false" ht="15" hidden="false" customHeight="true" outlineLevel="0" collapsed="false">
      <c r="A35" s="4" t="s">
        <v>66</v>
      </c>
      <c r="B35" s="4" t="s">
        <v>36</v>
      </c>
      <c r="C35" s="6" t="n">
        <v>38.412</v>
      </c>
      <c r="D35" s="4" t="s">
        <v>165</v>
      </c>
      <c r="E35" s="15" t="s">
        <v>192</v>
      </c>
    </row>
    <row r="36" customFormat="false" ht="15" hidden="false" customHeight="true" outlineLevel="0" collapsed="false">
      <c r="A36" s="4" t="s">
        <v>66</v>
      </c>
      <c r="B36" s="4" t="s">
        <v>36</v>
      </c>
      <c r="C36" s="6" t="n">
        <v>47.32</v>
      </c>
      <c r="D36" s="14" t="s">
        <v>164</v>
      </c>
      <c r="E36" s="15" t="s">
        <v>193</v>
      </c>
    </row>
    <row r="37" customFormat="false" ht="15" hidden="false" customHeight="true" outlineLevel="0" collapsed="false">
      <c r="A37" s="4" t="s">
        <v>66</v>
      </c>
      <c r="B37" s="4" t="s">
        <v>36</v>
      </c>
      <c r="C37" s="6" t="n">
        <v>47.325</v>
      </c>
      <c r="D37" s="4" t="s">
        <v>169</v>
      </c>
      <c r="E37" s="15" t="s">
        <v>176</v>
      </c>
    </row>
    <row r="38" customFormat="false" ht="15" hidden="false" customHeight="true" outlineLevel="0" collapsed="false">
      <c r="A38" s="4" t="s">
        <v>66</v>
      </c>
      <c r="B38" s="4" t="s">
        <v>36</v>
      </c>
      <c r="C38" s="6" t="n">
        <v>47.385</v>
      </c>
      <c r="D38" s="4" t="s">
        <v>165</v>
      </c>
      <c r="E38" s="15" t="s">
        <v>177</v>
      </c>
    </row>
    <row r="39" customFormat="false" ht="15" hidden="false" customHeight="true" outlineLevel="0" collapsed="false">
      <c r="A39" s="4" t="s">
        <v>66</v>
      </c>
      <c r="B39" s="4" t="s">
        <v>36</v>
      </c>
      <c r="C39" s="6" t="n">
        <v>50.963</v>
      </c>
      <c r="D39" s="4" t="s">
        <v>165</v>
      </c>
      <c r="E39" s="15" t="s">
        <v>178</v>
      </c>
    </row>
    <row r="40" customFormat="false" ht="15" hidden="false" customHeight="true" outlineLevel="0" collapsed="false">
      <c r="A40" s="4" t="s">
        <v>66</v>
      </c>
      <c r="B40" s="4" t="s">
        <v>36</v>
      </c>
      <c r="C40" s="6" t="n">
        <v>56.937</v>
      </c>
      <c r="D40" s="14" t="s">
        <v>164</v>
      </c>
      <c r="E40" s="15" t="s">
        <v>179</v>
      </c>
    </row>
    <row r="41" customFormat="false" ht="15" hidden="false" customHeight="true" outlineLevel="0" collapsed="false">
      <c r="A41" s="4" t="s">
        <v>66</v>
      </c>
      <c r="B41" s="4" t="s">
        <v>36</v>
      </c>
      <c r="C41" s="6" t="n">
        <v>56.949</v>
      </c>
      <c r="D41" s="4" t="s">
        <v>169</v>
      </c>
      <c r="E41" s="15" t="s">
        <v>180</v>
      </c>
    </row>
    <row r="42" customFormat="false" ht="15" hidden="false" customHeight="true" outlineLevel="0" collapsed="false">
      <c r="A42" s="4" t="s">
        <v>66</v>
      </c>
      <c r="B42" s="4" t="s">
        <v>36</v>
      </c>
      <c r="C42" s="6" t="n">
        <v>56.959</v>
      </c>
      <c r="D42" s="4" t="s">
        <v>165</v>
      </c>
      <c r="E42" s="15" t="s">
        <v>181</v>
      </c>
    </row>
    <row r="43" customFormat="false" ht="15" hidden="false" customHeight="true" outlineLevel="0" collapsed="false">
      <c r="A43" s="4" t="s">
        <v>66</v>
      </c>
      <c r="B43" s="4" t="s">
        <v>36</v>
      </c>
      <c r="C43" s="6" t="n">
        <v>61.32</v>
      </c>
      <c r="D43" s="4" t="s">
        <v>165</v>
      </c>
      <c r="E43" s="15" t="s">
        <v>182</v>
      </c>
    </row>
    <row r="44" customFormat="false" ht="15" hidden="false" customHeight="true" outlineLevel="0" collapsed="false">
      <c r="A44" s="4" t="s">
        <v>75</v>
      </c>
      <c r="B44" s="4" t="s">
        <v>36</v>
      </c>
      <c r="C44" s="6" t="n">
        <v>4.371</v>
      </c>
      <c r="D44" s="14" t="s">
        <v>164</v>
      </c>
      <c r="E44" s="15" t="s">
        <v>69</v>
      </c>
    </row>
    <row r="45" customFormat="false" ht="15" hidden="false" customHeight="true" outlineLevel="0" collapsed="false">
      <c r="A45" s="4" t="s">
        <v>75</v>
      </c>
      <c r="B45" s="4" t="s">
        <v>36</v>
      </c>
      <c r="C45" s="6" t="n">
        <v>4.377</v>
      </c>
      <c r="D45" s="4" t="s">
        <v>169</v>
      </c>
      <c r="E45" s="15" t="s">
        <v>183</v>
      </c>
    </row>
    <row r="46" customFormat="false" ht="15" hidden="false" customHeight="true" outlineLevel="0" collapsed="false">
      <c r="A46" s="4" t="s">
        <v>75</v>
      </c>
      <c r="B46" s="4" t="s">
        <v>36</v>
      </c>
      <c r="C46" s="6" t="n">
        <v>4.429</v>
      </c>
      <c r="D46" s="4" t="s">
        <v>165</v>
      </c>
      <c r="E46" s="15" t="s">
        <v>184</v>
      </c>
    </row>
    <row r="47" customFormat="false" ht="15" hidden="false" customHeight="true" outlineLevel="0" collapsed="false">
      <c r="A47" s="4" t="s">
        <v>75</v>
      </c>
      <c r="B47" s="4" t="s">
        <v>36</v>
      </c>
      <c r="C47" s="6" t="n">
        <v>13.509</v>
      </c>
      <c r="D47" s="4" t="s">
        <v>165</v>
      </c>
      <c r="E47" s="15" t="s">
        <v>188</v>
      </c>
    </row>
    <row r="48" customFormat="false" ht="15" hidden="false" customHeight="true" outlineLevel="0" collapsed="false">
      <c r="A48" s="4" t="s">
        <v>75</v>
      </c>
      <c r="B48" s="4" t="s">
        <v>36</v>
      </c>
      <c r="C48" s="6" t="n">
        <v>19.09</v>
      </c>
      <c r="D48" s="4" t="s">
        <v>165</v>
      </c>
      <c r="E48" s="15" t="s">
        <v>189</v>
      </c>
    </row>
    <row r="49" customFormat="false" ht="15" hidden="false" customHeight="true" outlineLevel="0" collapsed="false">
      <c r="A49" s="4" t="s">
        <v>75</v>
      </c>
      <c r="B49" s="4" t="s">
        <v>36</v>
      </c>
      <c r="C49" s="6" t="n">
        <v>26.437</v>
      </c>
      <c r="D49" s="14" t="s">
        <v>164</v>
      </c>
      <c r="E49" s="15" t="s">
        <v>84</v>
      </c>
    </row>
    <row r="50" customFormat="false" ht="15" hidden="false" customHeight="true" outlineLevel="0" collapsed="false">
      <c r="A50" s="4" t="s">
        <v>75</v>
      </c>
      <c r="B50" s="4" t="s">
        <v>36</v>
      </c>
      <c r="C50" s="6" t="n">
        <v>26.441</v>
      </c>
      <c r="D50" s="4" t="s">
        <v>169</v>
      </c>
      <c r="E50" s="15" t="s">
        <v>57</v>
      </c>
    </row>
    <row r="51" customFormat="false" ht="15" hidden="false" customHeight="true" outlineLevel="0" collapsed="false">
      <c r="A51" s="4" t="s">
        <v>75</v>
      </c>
      <c r="B51" s="4" t="s">
        <v>36</v>
      </c>
      <c r="C51" s="6" t="n">
        <v>26.464</v>
      </c>
      <c r="D51" s="4" t="s">
        <v>165</v>
      </c>
      <c r="E51" s="15" t="s">
        <v>173</v>
      </c>
    </row>
    <row r="52" customFormat="false" ht="15" hidden="false" customHeight="true" outlineLevel="0" collapsed="false">
      <c r="A52" s="4" t="s">
        <v>75</v>
      </c>
      <c r="B52" s="4" t="s">
        <v>36</v>
      </c>
      <c r="C52" s="6" t="n">
        <v>31.944</v>
      </c>
      <c r="D52" s="4" t="s">
        <v>165</v>
      </c>
      <c r="E52" s="15" t="s">
        <v>194</v>
      </c>
    </row>
    <row r="53" customFormat="false" ht="15" hidden="false" customHeight="true" outlineLevel="0" collapsed="false">
      <c r="A53" s="4" t="s">
        <v>75</v>
      </c>
      <c r="B53" s="4" t="s">
        <v>36</v>
      </c>
      <c r="C53" s="6" t="n">
        <v>40.259</v>
      </c>
      <c r="D53" s="14" t="s">
        <v>164</v>
      </c>
      <c r="E53" s="15" t="s">
        <v>195</v>
      </c>
    </row>
    <row r="54" customFormat="false" ht="15" hidden="false" customHeight="true" outlineLevel="0" collapsed="false">
      <c r="A54" s="4" t="s">
        <v>75</v>
      </c>
      <c r="B54" s="4" t="s">
        <v>36</v>
      </c>
      <c r="C54" s="6" t="n">
        <v>40.263</v>
      </c>
      <c r="D54" s="4" t="s">
        <v>169</v>
      </c>
      <c r="E54" s="15" t="s">
        <v>176</v>
      </c>
    </row>
    <row r="55" customFormat="false" ht="15" hidden="false" customHeight="true" outlineLevel="0" collapsed="false">
      <c r="A55" s="4" t="s">
        <v>75</v>
      </c>
      <c r="B55" s="4" t="s">
        <v>36</v>
      </c>
      <c r="C55" s="6" t="n">
        <v>40.307</v>
      </c>
      <c r="D55" s="4" t="s">
        <v>165</v>
      </c>
      <c r="E55" s="15" t="s">
        <v>177</v>
      </c>
    </row>
    <row r="56" customFormat="false" ht="15" hidden="false" customHeight="true" outlineLevel="0" collapsed="false">
      <c r="A56" s="4" t="s">
        <v>75</v>
      </c>
      <c r="B56" s="4" t="s">
        <v>36</v>
      </c>
      <c r="C56" s="6" t="n">
        <v>44.057</v>
      </c>
      <c r="D56" s="4" t="s">
        <v>165</v>
      </c>
      <c r="E56" s="15" t="s">
        <v>178</v>
      </c>
    </row>
    <row r="57" customFormat="false" ht="15" hidden="false" customHeight="true" outlineLevel="0" collapsed="false">
      <c r="A57" s="4" t="s">
        <v>75</v>
      </c>
      <c r="B57" s="4" t="s">
        <v>36</v>
      </c>
      <c r="C57" s="6" t="n">
        <v>48.239</v>
      </c>
      <c r="D57" s="14" t="s">
        <v>164</v>
      </c>
      <c r="E57" s="15" t="s">
        <v>196</v>
      </c>
    </row>
    <row r="58" customFormat="false" ht="15" hidden="false" customHeight="true" outlineLevel="0" collapsed="false">
      <c r="A58" s="4" t="s">
        <v>75</v>
      </c>
      <c r="B58" s="4" t="s">
        <v>36</v>
      </c>
      <c r="C58" s="6" t="n">
        <v>48.244</v>
      </c>
      <c r="D58" s="4" t="s">
        <v>169</v>
      </c>
      <c r="E58" s="15" t="s">
        <v>180</v>
      </c>
    </row>
    <row r="59" customFormat="false" ht="15" hidden="false" customHeight="true" outlineLevel="0" collapsed="false">
      <c r="A59" s="4" t="s">
        <v>75</v>
      </c>
      <c r="B59" s="4" t="s">
        <v>36</v>
      </c>
      <c r="C59" s="6" t="n">
        <v>48.257</v>
      </c>
      <c r="D59" s="4" t="s">
        <v>165</v>
      </c>
      <c r="E59" s="15" t="s">
        <v>181</v>
      </c>
    </row>
    <row r="60" customFormat="false" ht="15" hidden="false" customHeight="true" outlineLevel="0" collapsed="false">
      <c r="A60" s="4" t="s">
        <v>75</v>
      </c>
      <c r="B60" s="4" t="s">
        <v>36</v>
      </c>
      <c r="C60" s="6" t="n">
        <v>53.827</v>
      </c>
      <c r="D60" s="4" t="s">
        <v>165</v>
      </c>
      <c r="E60" s="15" t="s">
        <v>182</v>
      </c>
    </row>
    <row r="61" customFormat="false" ht="15" hidden="false" customHeight="true" outlineLevel="0" collapsed="false">
      <c r="A61" s="4" t="s">
        <v>82</v>
      </c>
      <c r="B61" s="4" t="s">
        <v>36</v>
      </c>
      <c r="C61" s="6" t="n">
        <v>5.661</v>
      </c>
      <c r="D61" s="4" t="s">
        <v>165</v>
      </c>
      <c r="E61" s="15" t="s">
        <v>171</v>
      </c>
    </row>
    <row r="62" customFormat="false" ht="15" hidden="false" customHeight="true" outlineLevel="0" collapsed="false">
      <c r="A62" s="4" t="s">
        <v>82</v>
      </c>
      <c r="B62" s="4" t="s">
        <v>36</v>
      </c>
      <c r="C62" s="6" t="n">
        <v>10.522</v>
      </c>
      <c r="D62" s="4" t="s">
        <v>165</v>
      </c>
      <c r="E62" s="15" t="s">
        <v>172</v>
      </c>
    </row>
    <row r="63" customFormat="false" ht="15" hidden="false" customHeight="true" outlineLevel="0" collapsed="false">
      <c r="A63" s="4" t="s">
        <v>82</v>
      </c>
      <c r="B63" s="4" t="s">
        <v>36</v>
      </c>
      <c r="C63" s="6" t="n">
        <v>27.676</v>
      </c>
      <c r="D63" s="14" t="s">
        <v>164</v>
      </c>
      <c r="E63" s="15" t="s">
        <v>84</v>
      </c>
    </row>
    <row r="64" customFormat="false" ht="15" hidden="false" customHeight="true" outlineLevel="0" collapsed="false">
      <c r="A64" s="4" t="s">
        <v>82</v>
      </c>
      <c r="B64" s="4" t="s">
        <v>36</v>
      </c>
      <c r="C64" s="6" t="n">
        <v>27.68</v>
      </c>
      <c r="D64" s="4" t="s">
        <v>169</v>
      </c>
      <c r="E64" s="15" t="s">
        <v>57</v>
      </c>
    </row>
    <row r="65" customFormat="false" ht="15" hidden="false" customHeight="true" outlineLevel="0" collapsed="false">
      <c r="A65" s="4" t="s">
        <v>82</v>
      </c>
      <c r="B65" s="4" t="s">
        <v>36</v>
      </c>
      <c r="C65" s="6" t="n">
        <v>27.725</v>
      </c>
      <c r="D65" s="4" t="s">
        <v>165</v>
      </c>
      <c r="E65" s="15" t="s">
        <v>173</v>
      </c>
    </row>
    <row r="66" customFormat="false" ht="15" hidden="false" customHeight="true" outlineLevel="0" collapsed="false">
      <c r="A66" s="4" t="s">
        <v>82</v>
      </c>
      <c r="B66" s="4" t="s">
        <v>36</v>
      </c>
      <c r="C66" s="6" t="n">
        <v>32.733</v>
      </c>
      <c r="D66" s="4" t="s">
        <v>165</v>
      </c>
      <c r="E66" s="15" t="s">
        <v>174</v>
      </c>
    </row>
    <row r="67" customFormat="false" ht="15" hidden="false" customHeight="true" outlineLevel="0" collapsed="false">
      <c r="A67" s="4" t="s">
        <v>82</v>
      </c>
      <c r="B67" s="4" t="s">
        <v>36</v>
      </c>
      <c r="C67" s="6" t="n">
        <v>42.64</v>
      </c>
      <c r="D67" s="14" t="s">
        <v>164</v>
      </c>
      <c r="E67" s="15" t="s">
        <v>197</v>
      </c>
    </row>
    <row r="68" customFormat="false" ht="15" hidden="false" customHeight="true" outlineLevel="0" collapsed="false">
      <c r="A68" s="4" t="s">
        <v>82</v>
      </c>
      <c r="B68" s="4" t="s">
        <v>36</v>
      </c>
      <c r="C68" s="6" t="n">
        <v>43.912</v>
      </c>
      <c r="D68" s="4" t="s">
        <v>169</v>
      </c>
      <c r="E68" s="15" t="s">
        <v>198</v>
      </c>
    </row>
    <row r="69" customFormat="false" ht="15" hidden="false" customHeight="true" outlineLevel="0" collapsed="false">
      <c r="A69" s="4" t="s">
        <v>82</v>
      </c>
      <c r="B69" s="4" t="s">
        <v>36</v>
      </c>
      <c r="C69" s="6" t="n">
        <v>43.958</v>
      </c>
      <c r="D69" s="4" t="s">
        <v>165</v>
      </c>
      <c r="E69" s="15" t="s">
        <v>177</v>
      </c>
    </row>
    <row r="70" customFormat="false" ht="15" hidden="false" customHeight="true" outlineLevel="0" collapsed="false">
      <c r="A70" s="4" t="s">
        <v>82</v>
      </c>
      <c r="B70" s="4" t="s">
        <v>36</v>
      </c>
      <c r="C70" s="6" t="n">
        <v>52.124</v>
      </c>
      <c r="D70" s="4" t="s">
        <v>165</v>
      </c>
      <c r="E70" s="15" t="s">
        <v>182</v>
      </c>
    </row>
    <row r="71" customFormat="false" ht="15" hidden="false" customHeight="true" outlineLevel="0" collapsed="false">
      <c r="A71" s="4" t="s">
        <v>88</v>
      </c>
      <c r="B71" s="4" t="s">
        <v>36</v>
      </c>
      <c r="C71" s="6" t="n">
        <v>8.278</v>
      </c>
      <c r="D71" s="14" t="s">
        <v>164</v>
      </c>
      <c r="E71" s="15" t="s">
        <v>89</v>
      </c>
    </row>
    <row r="72" customFormat="false" ht="15" hidden="false" customHeight="true" outlineLevel="0" collapsed="false">
      <c r="A72" s="4" t="s">
        <v>88</v>
      </c>
      <c r="B72" s="4" t="s">
        <v>36</v>
      </c>
      <c r="C72" s="6" t="n">
        <v>9.143</v>
      </c>
      <c r="D72" s="4" t="s">
        <v>165</v>
      </c>
      <c r="E72" s="15" t="s">
        <v>199</v>
      </c>
    </row>
    <row r="73" customFormat="false" ht="15" hidden="false" customHeight="true" outlineLevel="0" collapsed="false">
      <c r="A73" s="4" t="s">
        <v>91</v>
      </c>
      <c r="B73" s="4" t="s">
        <v>36</v>
      </c>
      <c r="C73" s="6" t="n">
        <v>5.201</v>
      </c>
      <c r="D73" s="14" t="s">
        <v>164</v>
      </c>
      <c r="E73" s="15" t="s">
        <v>92</v>
      </c>
    </row>
    <row r="74" customFormat="false" ht="15" hidden="false" customHeight="true" outlineLevel="0" collapsed="false">
      <c r="A74" s="4" t="s">
        <v>91</v>
      </c>
      <c r="B74" s="4" t="s">
        <v>36</v>
      </c>
      <c r="C74" s="6" t="n">
        <v>6.511</v>
      </c>
      <c r="D74" s="4" t="s">
        <v>165</v>
      </c>
      <c r="E74" s="15" t="s">
        <v>200</v>
      </c>
    </row>
    <row r="75" customFormat="false" ht="15" hidden="false" customHeight="true" outlineLevel="0" collapsed="false">
      <c r="A75" s="4" t="s">
        <v>91</v>
      </c>
      <c r="B75" s="4" t="s">
        <v>36</v>
      </c>
      <c r="C75" s="6" t="n">
        <v>12.929</v>
      </c>
      <c r="D75" s="4" t="s">
        <v>165</v>
      </c>
      <c r="E75" s="15" t="s">
        <v>201</v>
      </c>
    </row>
    <row r="76" customFormat="false" ht="15" hidden="false" customHeight="true" outlineLevel="0" collapsed="false">
      <c r="A76" s="4" t="s">
        <v>159</v>
      </c>
      <c r="B76" s="4" t="s">
        <v>36</v>
      </c>
      <c r="C76" s="6" t="n">
        <v>7.417</v>
      </c>
      <c r="D76" s="14" t="s">
        <v>164</v>
      </c>
      <c r="E76" s="15" t="s">
        <v>96</v>
      </c>
    </row>
    <row r="77" customFormat="false" ht="15" hidden="false" customHeight="true" outlineLevel="0" collapsed="false">
      <c r="A77" s="4" t="s">
        <v>159</v>
      </c>
      <c r="B77" s="4" t="s">
        <v>36</v>
      </c>
      <c r="C77" s="6" t="n">
        <v>8.653</v>
      </c>
      <c r="D77" s="4" t="s">
        <v>169</v>
      </c>
      <c r="E77" s="15" t="s">
        <v>202</v>
      </c>
    </row>
    <row r="78" customFormat="false" ht="15" hidden="false" customHeight="true" outlineLevel="0" collapsed="false">
      <c r="A78" s="4" t="s">
        <v>159</v>
      </c>
      <c r="B78" s="4" t="s">
        <v>36</v>
      </c>
      <c r="C78" s="6" t="n">
        <v>13.716</v>
      </c>
      <c r="D78" s="4" t="s">
        <v>165</v>
      </c>
      <c r="E78" s="15" t="s">
        <v>203</v>
      </c>
    </row>
    <row r="79" customFormat="false" ht="15" hidden="false" customHeight="true" outlineLevel="0" collapsed="false">
      <c r="A79" s="4" t="s">
        <v>159</v>
      </c>
      <c r="B79" s="4" t="s">
        <v>36</v>
      </c>
      <c r="C79" s="6" t="n">
        <v>20.358</v>
      </c>
      <c r="D79" s="4" t="s">
        <v>165</v>
      </c>
      <c r="E79" s="15" t="s">
        <v>204</v>
      </c>
    </row>
    <row r="80" customFormat="false" ht="15" hidden="false" customHeight="true" outlineLevel="0" collapsed="false">
      <c r="A80" s="4" t="s">
        <v>159</v>
      </c>
      <c r="B80" s="4" t="s">
        <v>36</v>
      </c>
      <c r="C80" s="6" t="n">
        <v>33.108</v>
      </c>
      <c r="D80" s="14" t="s">
        <v>164</v>
      </c>
      <c r="E80" s="15" t="s">
        <v>205</v>
      </c>
    </row>
    <row r="81" customFormat="false" ht="15" hidden="false" customHeight="true" outlineLevel="0" collapsed="false">
      <c r="A81" s="4" t="s">
        <v>159</v>
      </c>
      <c r="B81" s="4" t="s">
        <v>36</v>
      </c>
      <c r="C81" s="6" t="n">
        <v>33.114</v>
      </c>
      <c r="D81" s="4" t="s">
        <v>169</v>
      </c>
      <c r="E81" s="15" t="s">
        <v>180</v>
      </c>
    </row>
    <row r="82" customFormat="false" ht="15" hidden="false" customHeight="true" outlineLevel="0" collapsed="false">
      <c r="A82" s="4" t="s">
        <v>159</v>
      </c>
      <c r="B82" s="4" t="s">
        <v>36</v>
      </c>
      <c r="C82" s="6" t="n">
        <v>33.156</v>
      </c>
      <c r="D82" s="4" t="s">
        <v>165</v>
      </c>
      <c r="E82" s="15" t="s">
        <v>181</v>
      </c>
    </row>
    <row r="83" customFormat="false" ht="15" hidden="false" customHeight="true" outlineLevel="0" collapsed="false">
      <c r="A83" s="4" t="s">
        <v>159</v>
      </c>
      <c r="B83" s="4" t="s">
        <v>36</v>
      </c>
      <c r="C83" s="6" t="n">
        <v>34.585</v>
      </c>
      <c r="D83" s="14" t="s">
        <v>164</v>
      </c>
      <c r="E83" s="15" t="s">
        <v>206</v>
      </c>
    </row>
    <row r="84" customFormat="false" ht="15" hidden="false" customHeight="true" outlineLevel="0" collapsed="false">
      <c r="A84" s="4" t="s">
        <v>159</v>
      </c>
      <c r="B84" s="4" t="s">
        <v>36</v>
      </c>
      <c r="C84" s="6" t="n">
        <v>34.593</v>
      </c>
      <c r="D84" s="4" t="s">
        <v>169</v>
      </c>
      <c r="E84" s="15" t="s">
        <v>180</v>
      </c>
    </row>
    <row r="85" customFormat="false" ht="15" hidden="false" customHeight="true" outlineLevel="0" collapsed="false">
      <c r="A85" s="4" t="s">
        <v>159</v>
      </c>
      <c r="B85" s="4" t="s">
        <v>36</v>
      </c>
      <c r="C85" s="6" t="n">
        <v>39.724</v>
      </c>
      <c r="D85" s="4" t="s">
        <v>165</v>
      </c>
      <c r="E85" s="15" t="s">
        <v>207</v>
      </c>
    </row>
    <row r="86" customFormat="false" ht="15" hidden="false" customHeight="true" outlineLevel="0" collapsed="false">
      <c r="A86" s="4" t="s">
        <v>159</v>
      </c>
      <c r="B86" s="4" t="s">
        <v>36</v>
      </c>
      <c r="C86" s="6" t="n">
        <v>48.787</v>
      </c>
      <c r="D86" s="14" t="s">
        <v>164</v>
      </c>
      <c r="E86" s="15" t="s">
        <v>208</v>
      </c>
    </row>
    <row r="87" customFormat="false" ht="15" hidden="false" customHeight="true" outlineLevel="0" collapsed="false">
      <c r="A87" s="4" t="s">
        <v>159</v>
      </c>
      <c r="B87" s="4" t="s">
        <v>36</v>
      </c>
      <c r="C87" s="6" t="n">
        <v>48.792</v>
      </c>
      <c r="D87" s="4" t="s">
        <v>169</v>
      </c>
      <c r="E87" s="15" t="s">
        <v>176</v>
      </c>
    </row>
    <row r="88" customFormat="false" ht="15" hidden="false" customHeight="true" outlineLevel="0" collapsed="false">
      <c r="A88" s="4" t="s">
        <v>159</v>
      </c>
      <c r="B88" s="4" t="s">
        <v>36</v>
      </c>
      <c r="C88" s="6" t="n">
        <v>48.842</v>
      </c>
      <c r="D88" s="4" t="s">
        <v>165</v>
      </c>
      <c r="E88" s="15" t="s">
        <v>177</v>
      </c>
    </row>
    <row r="89" customFormat="false" ht="15" hidden="false" customHeight="true" outlineLevel="0" collapsed="false">
      <c r="A89" s="4" t="s">
        <v>159</v>
      </c>
      <c r="B89" s="4" t="s">
        <v>36</v>
      </c>
      <c r="C89" s="6" t="n">
        <v>52.916</v>
      </c>
      <c r="D89" s="4" t="s">
        <v>165</v>
      </c>
      <c r="E89" s="15" t="s">
        <v>209</v>
      </c>
    </row>
    <row r="90" customFormat="false" ht="15" hidden="false" customHeight="true" outlineLevel="0" collapsed="false">
      <c r="A90" s="4" t="s">
        <v>95</v>
      </c>
      <c r="B90" s="4" t="s">
        <v>36</v>
      </c>
      <c r="C90" s="6" t="n">
        <v>6.882</v>
      </c>
      <c r="D90" s="14" t="s">
        <v>164</v>
      </c>
      <c r="E90" s="15" t="s">
        <v>96</v>
      </c>
    </row>
    <row r="91" customFormat="false" ht="15" hidden="false" customHeight="true" outlineLevel="0" collapsed="false">
      <c r="A91" s="4" t="s">
        <v>95</v>
      </c>
      <c r="B91" s="4" t="s">
        <v>36</v>
      </c>
      <c r="C91" s="6" t="n">
        <v>7.839</v>
      </c>
      <c r="D91" s="4" t="s">
        <v>169</v>
      </c>
      <c r="E91" s="15" t="s">
        <v>202</v>
      </c>
    </row>
    <row r="92" customFormat="false" ht="15" hidden="false" customHeight="true" outlineLevel="0" collapsed="false">
      <c r="A92" s="4" t="s">
        <v>95</v>
      </c>
      <c r="B92" s="4" t="s">
        <v>36</v>
      </c>
      <c r="C92" s="6" t="n">
        <v>9.801</v>
      </c>
      <c r="D92" s="4" t="s">
        <v>165</v>
      </c>
      <c r="E92" s="15" t="s">
        <v>203</v>
      </c>
    </row>
    <row r="93" customFormat="false" ht="15" hidden="false" customHeight="true" outlineLevel="0" collapsed="false">
      <c r="A93" s="4" t="s">
        <v>95</v>
      </c>
      <c r="B93" s="4" t="s">
        <v>36</v>
      </c>
      <c r="C93" s="6" t="n">
        <v>14.311</v>
      </c>
      <c r="D93" s="4" t="s">
        <v>165</v>
      </c>
      <c r="E93" s="15" t="s">
        <v>204</v>
      </c>
    </row>
    <row r="94" customFormat="false" ht="15" hidden="false" customHeight="true" outlineLevel="0" collapsed="false">
      <c r="A94" s="4" t="s">
        <v>95</v>
      </c>
      <c r="B94" s="4" t="s">
        <v>36</v>
      </c>
      <c r="C94" s="6" t="n">
        <v>22.438</v>
      </c>
      <c r="D94" s="14" t="s">
        <v>164</v>
      </c>
      <c r="E94" s="15" t="s">
        <v>190</v>
      </c>
    </row>
    <row r="95" customFormat="false" ht="15" hidden="false" customHeight="true" outlineLevel="0" collapsed="false">
      <c r="A95" s="4" t="s">
        <v>95</v>
      </c>
      <c r="B95" s="4" t="s">
        <v>36</v>
      </c>
      <c r="C95" s="6" t="n">
        <v>22.45</v>
      </c>
      <c r="D95" s="4" t="s">
        <v>169</v>
      </c>
      <c r="E95" s="15" t="s">
        <v>71</v>
      </c>
    </row>
    <row r="96" customFormat="false" ht="15" hidden="false" customHeight="true" outlineLevel="0" collapsed="false">
      <c r="A96" s="4" t="s">
        <v>95</v>
      </c>
      <c r="B96" s="4" t="s">
        <v>36</v>
      </c>
      <c r="C96" s="6" t="n">
        <v>22.512</v>
      </c>
      <c r="D96" s="4" t="s">
        <v>165</v>
      </c>
      <c r="E96" s="15" t="s">
        <v>191</v>
      </c>
    </row>
    <row r="97" customFormat="false" ht="15" hidden="false" customHeight="true" outlineLevel="0" collapsed="false">
      <c r="A97" s="4" t="s">
        <v>95</v>
      </c>
      <c r="B97" s="4" t="s">
        <v>36</v>
      </c>
      <c r="C97" s="6" t="n">
        <v>25.537</v>
      </c>
      <c r="D97" s="4" t="s">
        <v>165</v>
      </c>
      <c r="E97" s="15" t="s">
        <v>210</v>
      </c>
    </row>
    <row r="98" customFormat="false" ht="15" hidden="false" customHeight="true" outlineLevel="0" collapsed="false">
      <c r="A98" s="4" t="s">
        <v>95</v>
      </c>
      <c r="B98" s="4" t="s">
        <v>36</v>
      </c>
      <c r="C98" s="6" t="n">
        <v>34.477</v>
      </c>
      <c r="D98" s="14" t="s">
        <v>164</v>
      </c>
      <c r="E98" s="15" t="s">
        <v>195</v>
      </c>
    </row>
    <row r="99" customFormat="false" ht="15" hidden="false" customHeight="true" outlineLevel="0" collapsed="false">
      <c r="A99" s="4" t="s">
        <v>95</v>
      </c>
      <c r="B99" s="4" t="s">
        <v>36</v>
      </c>
      <c r="C99" s="6" t="n">
        <v>34.495</v>
      </c>
      <c r="D99" s="4" t="s">
        <v>169</v>
      </c>
      <c r="E99" s="15" t="s">
        <v>176</v>
      </c>
    </row>
    <row r="100" customFormat="false" ht="15" hidden="false" customHeight="true" outlineLevel="0" collapsed="false">
      <c r="A100" s="4" t="s">
        <v>95</v>
      </c>
      <c r="B100" s="4" t="s">
        <v>36</v>
      </c>
      <c r="C100" s="6" t="n">
        <v>34.533</v>
      </c>
      <c r="D100" s="4" t="s">
        <v>165</v>
      </c>
      <c r="E100" s="15" t="s">
        <v>177</v>
      </c>
    </row>
    <row r="101" customFormat="false" ht="15" hidden="false" customHeight="true" outlineLevel="0" collapsed="false">
      <c r="A101" s="4" t="s">
        <v>95</v>
      </c>
      <c r="B101" s="4" t="s">
        <v>36</v>
      </c>
      <c r="C101" s="6" t="n">
        <v>38.193</v>
      </c>
      <c r="D101" s="4" t="s">
        <v>165</v>
      </c>
      <c r="E101" s="15" t="s">
        <v>178</v>
      </c>
    </row>
    <row r="102" customFormat="false" ht="15" hidden="false" customHeight="true" outlineLevel="0" collapsed="false">
      <c r="A102" s="4" t="s">
        <v>95</v>
      </c>
      <c r="B102" s="4" t="s">
        <v>36</v>
      </c>
      <c r="C102" s="6" t="n">
        <v>41.777</v>
      </c>
      <c r="D102" s="14" t="s">
        <v>164</v>
      </c>
      <c r="E102" s="15" t="s">
        <v>196</v>
      </c>
    </row>
    <row r="103" customFormat="false" ht="15" hidden="false" customHeight="true" outlineLevel="0" collapsed="false">
      <c r="A103" s="4" t="s">
        <v>95</v>
      </c>
      <c r="B103" s="4" t="s">
        <v>36</v>
      </c>
      <c r="C103" s="6" t="n">
        <v>41.784</v>
      </c>
      <c r="D103" s="4" t="s">
        <v>169</v>
      </c>
      <c r="E103" s="15" t="s">
        <v>180</v>
      </c>
    </row>
    <row r="104" customFormat="false" ht="15" hidden="false" customHeight="true" outlineLevel="0" collapsed="false">
      <c r="A104" s="4" t="s">
        <v>95</v>
      </c>
      <c r="B104" s="4" t="s">
        <v>36</v>
      </c>
      <c r="C104" s="6" t="n">
        <v>41.794</v>
      </c>
      <c r="D104" s="4" t="s">
        <v>165</v>
      </c>
      <c r="E104" s="15" t="s">
        <v>181</v>
      </c>
    </row>
    <row r="105" customFormat="false" ht="15" hidden="false" customHeight="true" outlineLevel="0" collapsed="false">
      <c r="A105" s="4" t="s">
        <v>95</v>
      </c>
      <c r="B105" s="4" t="s">
        <v>36</v>
      </c>
      <c r="C105" s="6" t="n">
        <v>46.104</v>
      </c>
      <c r="D105" s="4" t="s">
        <v>165</v>
      </c>
      <c r="E105" s="15" t="s">
        <v>182</v>
      </c>
    </row>
    <row r="106" customFormat="false" ht="15" hidden="false" customHeight="true" outlineLevel="0" collapsed="false">
      <c r="A106" s="4" t="s">
        <v>102</v>
      </c>
      <c r="B106" s="4" t="s">
        <v>36</v>
      </c>
      <c r="C106" s="6" t="n">
        <v>6.226</v>
      </c>
      <c r="D106" s="14" t="s">
        <v>164</v>
      </c>
      <c r="E106" s="15" t="s">
        <v>103</v>
      </c>
    </row>
    <row r="107" customFormat="false" ht="15" hidden="false" customHeight="true" outlineLevel="0" collapsed="false">
      <c r="A107" s="4" t="s">
        <v>102</v>
      </c>
      <c r="B107" s="4" t="s">
        <v>36</v>
      </c>
      <c r="C107" s="6" t="n">
        <v>7.351</v>
      </c>
      <c r="D107" s="4" t="s">
        <v>169</v>
      </c>
      <c r="E107" s="15" t="s">
        <v>183</v>
      </c>
    </row>
    <row r="108" customFormat="false" ht="15" hidden="false" customHeight="true" outlineLevel="0" collapsed="false">
      <c r="A108" s="4" t="s">
        <v>102</v>
      </c>
      <c r="B108" s="4" t="s">
        <v>36</v>
      </c>
      <c r="C108" s="6" t="n">
        <v>7.368</v>
      </c>
      <c r="D108" s="4" t="s">
        <v>165</v>
      </c>
      <c r="E108" s="15" t="s">
        <v>184</v>
      </c>
    </row>
    <row r="109" customFormat="false" ht="15" hidden="false" customHeight="true" outlineLevel="0" collapsed="false">
      <c r="A109" s="4" t="s">
        <v>102</v>
      </c>
      <c r="B109" s="4" t="s">
        <v>36</v>
      </c>
      <c r="C109" s="6" t="n">
        <v>15.567</v>
      </c>
      <c r="D109" s="4" t="s">
        <v>165</v>
      </c>
      <c r="E109" s="15" t="s">
        <v>188</v>
      </c>
    </row>
    <row r="110" customFormat="false" ht="15" hidden="false" customHeight="true" outlineLevel="0" collapsed="false">
      <c r="A110" s="4" t="s">
        <v>102</v>
      </c>
      <c r="B110" s="4" t="s">
        <v>36</v>
      </c>
      <c r="C110" s="6" t="n">
        <v>20.974</v>
      </c>
      <c r="D110" s="4" t="s">
        <v>165</v>
      </c>
      <c r="E110" s="15" t="s">
        <v>189</v>
      </c>
    </row>
    <row r="111" customFormat="false" ht="15" hidden="false" customHeight="true" outlineLevel="0" collapsed="false">
      <c r="A111" s="4" t="s">
        <v>102</v>
      </c>
      <c r="B111" s="4" t="s">
        <v>36</v>
      </c>
      <c r="C111" s="6" t="n">
        <v>28.849</v>
      </c>
      <c r="D111" s="14" t="s">
        <v>164</v>
      </c>
      <c r="E111" s="15" t="s">
        <v>84</v>
      </c>
    </row>
    <row r="112" customFormat="false" ht="15" hidden="false" customHeight="true" outlineLevel="0" collapsed="false">
      <c r="A112" s="4" t="s">
        <v>102</v>
      </c>
      <c r="B112" s="4" t="s">
        <v>36</v>
      </c>
      <c r="C112" s="6" t="n">
        <v>28.863</v>
      </c>
      <c r="D112" s="4" t="s">
        <v>169</v>
      </c>
      <c r="E112" s="15" t="s">
        <v>57</v>
      </c>
    </row>
    <row r="113" customFormat="false" ht="15" hidden="false" customHeight="true" outlineLevel="0" collapsed="false">
      <c r="A113" s="4" t="s">
        <v>102</v>
      </c>
      <c r="B113" s="4" t="s">
        <v>36</v>
      </c>
      <c r="C113" s="6" t="n">
        <v>28.926</v>
      </c>
      <c r="D113" s="4" t="s">
        <v>165</v>
      </c>
      <c r="E113" s="15" t="s">
        <v>173</v>
      </c>
    </row>
    <row r="114" customFormat="false" ht="15" hidden="false" customHeight="true" outlineLevel="0" collapsed="false">
      <c r="A114" s="4" t="s">
        <v>102</v>
      </c>
      <c r="B114" s="4" t="s">
        <v>36</v>
      </c>
      <c r="C114" s="6" t="n">
        <v>33.764</v>
      </c>
      <c r="D114" s="4" t="s">
        <v>165</v>
      </c>
      <c r="E114" s="15" t="s">
        <v>194</v>
      </c>
    </row>
    <row r="115" customFormat="false" ht="15" hidden="false" customHeight="true" outlineLevel="0" collapsed="false">
      <c r="A115" s="4" t="s">
        <v>102</v>
      </c>
      <c r="B115" s="4" t="s">
        <v>36</v>
      </c>
      <c r="C115" s="6" t="n">
        <v>42.499</v>
      </c>
      <c r="D115" s="14" t="s">
        <v>164</v>
      </c>
      <c r="E115" s="15" t="s">
        <v>211</v>
      </c>
    </row>
    <row r="116" customFormat="false" ht="15" hidden="false" customHeight="true" outlineLevel="0" collapsed="false">
      <c r="A116" s="4" t="s">
        <v>102</v>
      </c>
      <c r="B116" s="4" t="s">
        <v>36</v>
      </c>
      <c r="C116" s="6" t="n">
        <v>42.546</v>
      </c>
      <c r="D116" s="4" t="s">
        <v>169</v>
      </c>
      <c r="E116" s="15" t="s">
        <v>212</v>
      </c>
    </row>
    <row r="117" customFormat="false" ht="15" hidden="false" customHeight="true" outlineLevel="0" collapsed="false">
      <c r="A117" s="4" t="s">
        <v>102</v>
      </c>
      <c r="B117" s="4" t="s">
        <v>36</v>
      </c>
      <c r="C117" s="6" t="n">
        <v>42.576</v>
      </c>
      <c r="D117" s="4" t="s">
        <v>165</v>
      </c>
      <c r="E117" s="15" t="s">
        <v>177</v>
      </c>
    </row>
    <row r="118" customFormat="false" ht="15" hidden="false" customHeight="true" outlineLevel="0" collapsed="false">
      <c r="A118" s="4" t="s">
        <v>102</v>
      </c>
      <c r="B118" s="4" t="s">
        <v>36</v>
      </c>
      <c r="C118" s="6" t="n">
        <v>50.632</v>
      </c>
      <c r="D118" s="4" t="s">
        <v>165</v>
      </c>
      <c r="E118" s="15" t="s">
        <v>182</v>
      </c>
    </row>
    <row r="119" customFormat="false" ht="15" hidden="false" customHeight="true" outlineLevel="0" collapsed="false">
      <c r="A119" s="4" t="s">
        <v>107</v>
      </c>
      <c r="B119" s="4" t="s">
        <v>36</v>
      </c>
      <c r="C119" s="6" t="n">
        <v>5.086</v>
      </c>
      <c r="D119" s="14" t="s">
        <v>164</v>
      </c>
      <c r="E119" s="15" t="s">
        <v>69</v>
      </c>
    </row>
    <row r="120" customFormat="false" ht="15" hidden="false" customHeight="true" outlineLevel="0" collapsed="false">
      <c r="A120" s="4" t="s">
        <v>107</v>
      </c>
      <c r="B120" s="4" t="s">
        <v>36</v>
      </c>
      <c r="C120" s="6" t="n">
        <v>5.089</v>
      </c>
      <c r="D120" s="4" t="s">
        <v>169</v>
      </c>
      <c r="E120" s="15" t="s">
        <v>183</v>
      </c>
    </row>
    <row r="121" customFormat="false" ht="15" hidden="false" customHeight="true" outlineLevel="0" collapsed="false">
      <c r="A121" s="4" t="s">
        <v>107</v>
      </c>
      <c r="B121" s="4" t="s">
        <v>36</v>
      </c>
      <c r="C121" s="6" t="n">
        <v>5.124</v>
      </c>
      <c r="D121" s="4" t="s">
        <v>165</v>
      </c>
      <c r="E121" s="15" t="s">
        <v>184</v>
      </c>
    </row>
    <row r="122" customFormat="false" ht="15" hidden="false" customHeight="true" outlineLevel="0" collapsed="false">
      <c r="A122" s="4" t="s">
        <v>107</v>
      </c>
      <c r="B122" s="4" t="s">
        <v>36</v>
      </c>
      <c r="C122" s="6" t="n">
        <v>13.958</v>
      </c>
      <c r="D122" s="14" t="s">
        <v>164</v>
      </c>
      <c r="E122" s="15" t="s">
        <v>213</v>
      </c>
    </row>
    <row r="123" customFormat="false" ht="15" hidden="false" customHeight="true" outlineLevel="0" collapsed="false">
      <c r="A123" s="4" t="s">
        <v>107</v>
      </c>
      <c r="B123" s="4" t="s">
        <v>36</v>
      </c>
      <c r="C123" s="6" t="n">
        <v>15.219</v>
      </c>
      <c r="D123" s="4" t="s">
        <v>169</v>
      </c>
      <c r="E123" s="15" t="s">
        <v>214</v>
      </c>
    </row>
    <row r="124" customFormat="false" ht="15" hidden="false" customHeight="true" outlineLevel="0" collapsed="false">
      <c r="A124" s="4" t="s">
        <v>107</v>
      </c>
      <c r="B124" s="4" t="s">
        <v>36</v>
      </c>
      <c r="C124" s="6" t="n">
        <v>15.263</v>
      </c>
      <c r="D124" s="4" t="s">
        <v>165</v>
      </c>
      <c r="E124" s="15" t="s">
        <v>215</v>
      </c>
    </row>
    <row r="125" customFormat="false" ht="15" hidden="false" customHeight="true" outlineLevel="0" collapsed="false">
      <c r="A125" s="4" t="s">
        <v>107</v>
      </c>
      <c r="B125" s="4" t="s">
        <v>36</v>
      </c>
      <c r="C125" s="6" t="n">
        <v>18.367</v>
      </c>
      <c r="D125" s="4" t="s">
        <v>165</v>
      </c>
      <c r="E125" s="15" t="s">
        <v>188</v>
      </c>
    </row>
    <row r="126" customFormat="false" ht="15" hidden="false" customHeight="true" outlineLevel="0" collapsed="false">
      <c r="A126" s="4" t="s">
        <v>107</v>
      </c>
      <c r="B126" s="4" t="s">
        <v>36</v>
      </c>
      <c r="C126" s="6" t="n">
        <v>21.374</v>
      </c>
      <c r="D126" s="4" t="s">
        <v>165</v>
      </c>
      <c r="E126" s="15" t="s">
        <v>189</v>
      </c>
    </row>
    <row r="127" customFormat="false" ht="15" hidden="false" customHeight="true" outlineLevel="0" collapsed="false">
      <c r="A127" s="4" t="s">
        <v>107</v>
      </c>
      <c r="B127" s="4" t="s">
        <v>36</v>
      </c>
      <c r="C127" s="6" t="n">
        <v>27.357</v>
      </c>
      <c r="D127" s="14" t="s">
        <v>164</v>
      </c>
      <c r="E127" s="15" t="s">
        <v>205</v>
      </c>
    </row>
    <row r="128" customFormat="false" ht="15" hidden="false" customHeight="true" outlineLevel="0" collapsed="false">
      <c r="A128" s="4" t="s">
        <v>107</v>
      </c>
      <c r="B128" s="4" t="s">
        <v>36</v>
      </c>
      <c r="C128" s="6" t="n">
        <v>27.362</v>
      </c>
      <c r="D128" s="4" t="s">
        <v>169</v>
      </c>
      <c r="E128" s="15" t="s">
        <v>180</v>
      </c>
    </row>
    <row r="129" customFormat="false" ht="15" hidden="false" customHeight="true" outlineLevel="0" collapsed="false">
      <c r="A129" s="4" t="s">
        <v>107</v>
      </c>
      <c r="B129" s="4" t="s">
        <v>36</v>
      </c>
      <c r="C129" s="6" t="n">
        <v>27.416</v>
      </c>
      <c r="D129" s="4" t="s">
        <v>165</v>
      </c>
      <c r="E129" s="15" t="s">
        <v>181</v>
      </c>
    </row>
    <row r="130" customFormat="false" ht="15" hidden="false" customHeight="true" outlineLevel="0" collapsed="false">
      <c r="A130" s="4" t="s">
        <v>107</v>
      </c>
      <c r="B130" s="4" t="s">
        <v>36</v>
      </c>
      <c r="C130" s="6" t="n">
        <v>33.509</v>
      </c>
      <c r="D130" s="4" t="s">
        <v>165</v>
      </c>
      <c r="E130" s="15" t="s">
        <v>216</v>
      </c>
    </row>
    <row r="131" customFormat="false" ht="15" hidden="false" customHeight="true" outlineLevel="0" collapsed="false">
      <c r="A131" s="4" t="s">
        <v>107</v>
      </c>
      <c r="B131" s="4" t="s">
        <v>36</v>
      </c>
      <c r="C131" s="6" t="n">
        <v>41.718</v>
      </c>
      <c r="D131" s="14" t="s">
        <v>164</v>
      </c>
      <c r="E131" s="15" t="s">
        <v>193</v>
      </c>
    </row>
    <row r="132" customFormat="false" ht="15" hidden="false" customHeight="true" outlineLevel="0" collapsed="false">
      <c r="A132" s="4" t="s">
        <v>107</v>
      </c>
      <c r="B132" s="4" t="s">
        <v>36</v>
      </c>
      <c r="C132" s="6" t="n">
        <v>41.731</v>
      </c>
      <c r="D132" s="4" t="s">
        <v>169</v>
      </c>
      <c r="E132" s="15" t="s">
        <v>176</v>
      </c>
    </row>
    <row r="133" customFormat="false" ht="15" hidden="false" customHeight="true" outlineLevel="0" collapsed="false">
      <c r="A133" s="4" t="s">
        <v>107</v>
      </c>
      <c r="B133" s="4" t="s">
        <v>36</v>
      </c>
      <c r="C133" s="6" t="n">
        <v>41.767</v>
      </c>
      <c r="D133" s="4" t="s">
        <v>165</v>
      </c>
      <c r="E133" s="15" t="s">
        <v>177</v>
      </c>
    </row>
    <row r="134" customFormat="false" ht="15" hidden="false" customHeight="true" outlineLevel="0" collapsed="false">
      <c r="A134" s="4" t="s">
        <v>107</v>
      </c>
      <c r="B134" s="4" t="s">
        <v>36</v>
      </c>
      <c r="C134" s="6" t="n">
        <v>45.716</v>
      </c>
      <c r="D134" s="4" t="s">
        <v>165</v>
      </c>
      <c r="E134" s="15" t="s">
        <v>209</v>
      </c>
    </row>
    <row r="135" customFormat="false" ht="15" hidden="false" customHeight="true" outlineLevel="0" collapsed="false">
      <c r="A135" s="4" t="s">
        <v>112</v>
      </c>
      <c r="B135" s="4" t="s">
        <v>36</v>
      </c>
      <c r="C135" s="6" t="n">
        <v>7.815</v>
      </c>
      <c r="D135" s="14" t="s">
        <v>164</v>
      </c>
      <c r="E135" s="15" t="s">
        <v>113</v>
      </c>
    </row>
    <row r="136" customFormat="false" ht="15" hidden="false" customHeight="true" outlineLevel="0" collapsed="false">
      <c r="A136" s="4" t="s">
        <v>112</v>
      </c>
      <c r="B136" s="4" t="s">
        <v>36</v>
      </c>
      <c r="C136" s="6" t="n">
        <v>7.822</v>
      </c>
      <c r="D136" s="4" t="s">
        <v>169</v>
      </c>
      <c r="E136" s="15" t="s">
        <v>202</v>
      </c>
    </row>
    <row r="137" customFormat="false" ht="15" hidden="false" customHeight="true" outlineLevel="0" collapsed="false">
      <c r="A137" s="4" t="s">
        <v>112</v>
      </c>
      <c r="B137" s="4" t="s">
        <v>36</v>
      </c>
      <c r="C137" s="6" t="n">
        <v>9.642</v>
      </c>
      <c r="D137" s="4" t="s">
        <v>165</v>
      </c>
      <c r="E137" s="15" t="s">
        <v>203</v>
      </c>
    </row>
    <row r="138" customFormat="false" ht="15" hidden="false" customHeight="true" outlineLevel="0" collapsed="false">
      <c r="A138" s="4" t="s">
        <v>112</v>
      </c>
      <c r="B138" s="4" t="s">
        <v>36</v>
      </c>
      <c r="C138" s="6" t="n">
        <v>14.345</v>
      </c>
      <c r="D138" s="4" t="s">
        <v>165</v>
      </c>
      <c r="E138" s="15" t="s">
        <v>204</v>
      </c>
    </row>
    <row r="139" customFormat="false" ht="15" hidden="false" customHeight="true" outlineLevel="0" collapsed="false">
      <c r="A139" s="4" t="s">
        <v>112</v>
      </c>
      <c r="B139" s="4" t="s">
        <v>36</v>
      </c>
      <c r="C139" s="6" t="n">
        <v>20.267</v>
      </c>
      <c r="D139" s="14" t="s">
        <v>164</v>
      </c>
      <c r="E139" s="15" t="s">
        <v>217</v>
      </c>
    </row>
    <row r="140" customFormat="false" ht="15" hidden="false" customHeight="true" outlineLevel="0" collapsed="false">
      <c r="A140" s="4" t="s">
        <v>112</v>
      </c>
      <c r="B140" s="4" t="s">
        <v>36</v>
      </c>
      <c r="C140" s="6" t="n">
        <v>20.272</v>
      </c>
      <c r="D140" s="4" t="s">
        <v>169</v>
      </c>
      <c r="E140" s="15" t="s">
        <v>57</v>
      </c>
    </row>
    <row r="141" customFormat="false" ht="15" hidden="false" customHeight="true" outlineLevel="0" collapsed="false">
      <c r="A141" s="4" t="s">
        <v>112</v>
      </c>
      <c r="B141" s="4" t="s">
        <v>36</v>
      </c>
      <c r="C141" s="6" t="n">
        <v>20.34</v>
      </c>
      <c r="D141" s="4" t="s">
        <v>165</v>
      </c>
      <c r="E141" s="15" t="s">
        <v>173</v>
      </c>
    </row>
    <row r="142" customFormat="false" ht="15" hidden="false" customHeight="true" outlineLevel="0" collapsed="false">
      <c r="A142" s="4" t="s">
        <v>112</v>
      </c>
      <c r="B142" s="4" t="s">
        <v>36</v>
      </c>
      <c r="C142" s="6" t="n">
        <v>25.545</v>
      </c>
      <c r="D142" s="4" t="s">
        <v>165</v>
      </c>
      <c r="E142" s="15" t="s">
        <v>218</v>
      </c>
    </row>
    <row r="143" customFormat="false" ht="15" hidden="false" customHeight="true" outlineLevel="0" collapsed="false">
      <c r="A143" s="4" t="s">
        <v>112</v>
      </c>
      <c r="B143" s="4" t="s">
        <v>36</v>
      </c>
      <c r="C143" s="6" t="n">
        <v>30.954</v>
      </c>
      <c r="D143" s="14" t="s">
        <v>164</v>
      </c>
      <c r="E143" s="15" t="s">
        <v>219</v>
      </c>
    </row>
    <row r="144" customFormat="false" ht="15" hidden="false" customHeight="true" outlineLevel="0" collapsed="false">
      <c r="A144" s="4" t="s">
        <v>112</v>
      </c>
      <c r="B144" s="4" t="s">
        <v>36</v>
      </c>
      <c r="C144" s="6" t="n">
        <v>31.009</v>
      </c>
      <c r="D144" s="4" t="s">
        <v>169</v>
      </c>
      <c r="E144" s="15" t="s">
        <v>176</v>
      </c>
    </row>
    <row r="145" customFormat="false" ht="15" hidden="false" customHeight="true" outlineLevel="0" collapsed="false">
      <c r="A145" s="4" t="s">
        <v>112</v>
      </c>
      <c r="B145" s="4" t="s">
        <v>36</v>
      </c>
      <c r="C145" s="6" t="n">
        <v>31.121</v>
      </c>
      <c r="D145" s="4" t="s">
        <v>165</v>
      </c>
      <c r="E145" s="15" t="s">
        <v>177</v>
      </c>
    </row>
    <row r="146" customFormat="false" ht="15" hidden="false" customHeight="true" outlineLevel="0" collapsed="false">
      <c r="A146" s="4" t="s">
        <v>112</v>
      </c>
      <c r="B146" s="4" t="s">
        <v>36</v>
      </c>
      <c r="C146" s="6" t="n">
        <v>32.379</v>
      </c>
      <c r="D146" s="14" t="s">
        <v>164</v>
      </c>
      <c r="E146" s="15" t="s">
        <v>220</v>
      </c>
    </row>
    <row r="147" customFormat="false" ht="15" hidden="false" customHeight="true" outlineLevel="0" collapsed="false">
      <c r="A147" s="4" t="s">
        <v>112</v>
      </c>
      <c r="B147" s="4" t="s">
        <v>36</v>
      </c>
      <c r="C147" s="6" t="n">
        <v>33.457</v>
      </c>
      <c r="D147" s="4" t="s">
        <v>165</v>
      </c>
      <c r="E147" s="15" t="s">
        <v>221</v>
      </c>
    </row>
    <row r="148" customFormat="false" ht="15" hidden="false" customHeight="true" outlineLevel="0" collapsed="false">
      <c r="A148" s="4" t="s">
        <v>112</v>
      </c>
      <c r="B148" s="4" t="s">
        <v>36</v>
      </c>
      <c r="C148" s="6" t="n">
        <v>38.2</v>
      </c>
      <c r="D148" s="4" t="s">
        <v>165</v>
      </c>
      <c r="E148" s="15" t="s">
        <v>178</v>
      </c>
    </row>
    <row r="149" customFormat="false" ht="15" hidden="false" customHeight="true" outlineLevel="0" collapsed="false">
      <c r="A149" s="4" t="s">
        <v>112</v>
      </c>
      <c r="B149" s="4" t="s">
        <v>36</v>
      </c>
      <c r="C149" s="6" t="n">
        <v>44.484</v>
      </c>
      <c r="D149" s="14" t="s">
        <v>164</v>
      </c>
      <c r="E149" s="15" t="s">
        <v>222</v>
      </c>
    </row>
    <row r="150" customFormat="false" ht="15" hidden="false" customHeight="true" outlineLevel="0" collapsed="false">
      <c r="A150" s="4" t="s">
        <v>112</v>
      </c>
      <c r="B150" s="4" t="s">
        <v>36</v>
      </c>
      <c r="C150" s="6" t="n">
        <v>44.525</v>
      </c>
      <c r="D150" s="4" t="s">
        <v>169</v>
      </c>
      <c r="E150" s="15" t="s">
        <v>180</v>
      </c>
    </row>
    <row r="151" customFormat="false" ht="15" hidden="false" customHeight="true" outlineLevel="0" collapsed="false">
      <c r="A151" s="4" t="s">
        <v>112</v>
      </c>
      <c r="B151" s="4" t="s">
        <v>36</v>
      </c>
      <c r="C151" s="6" t="n">
        <v>44.543</v>
      </c>
      <c r="D151" s="4" t="s">
        <v>165</v>
      </c>
      <c r="E151" s="15" t="s">
        <v>181</v>
      </c>
    </row>
    <row r="152" customFormat="false" ht="15" hidden="false" customHeight="true" outlineLevel="0" collapsed="false">
      <c r="A152" s="4" t="s">
        <v>112</v>
      </c>
      <c r="B152" s="4" t="s">
        <v>36</v>
      </c>
      <c r="C152" s="6" t="n">
        <v>50.111</v>
      </c>
      <c r="D152" s="4" t="s">
        <v>165</v>
      </c>
      <c r="E152" s="15" t="s">
        <v>182</v>
      </c>
    </row>
    <row r="153" customFormat="false" ht="15" hidden="false" customHeight="true" outlineLevel="0" collapsed="false">
      <c r="A153" s="4" t="s">
        <v>116</v>
      </c>
      <c r="B153" s="4" t="s">
        <v>36</v>
      </c>
      <c r="C153" s="6" t="n">
        <v>13.177</v>
      </c>
      <c r="D153" s="14" t="s">
        <v>164</v>
      </c>
      <c r="E153" s="15" t="s">
        <v>117</v>
      </c>
    </row>
    <row r="154" customFormat="false" ht="15" hidden="false" customHeight="true" outlineLevel="0" collapsed="false">
      <c r="A154" s="4" t="s">
        <v>116</v>
      </c>
      <c r="B154" s="4" t="s">
        <v>36</v>
      </c>
      <c r="C154" s="6" t="n">
        <v>14.269</v>
      </c>
      <c r="D154" s="4" t="s">
        <v>169</v>
      </c>
      <c r="E154" s="15" t="s">
        <v>170</v>
      </c>
    </row>
    <row r="155" customFormat="false" ht="15" hidden="false" customHeight="true" outlineLevel="0" collapsed="false">
      <c r="A155" s="4" t="s">
        <v>116</v>
      </c>
      <c r="B155" s="4" t="s">
        <v>36</v>
      </c>
      <c r="C155" s="6" t="n">
        <v>16.125</v>
      </c>
      <c r="D155" s="4" t="s">
        <v>165</v>
      </c>
      <c r="E155" s="15" t="s">
        <v>171</v>
      </c>
    </row>
    <row r="156" customFormat="false" ht="15" hidden="false" customHeight="true" outlineLevel="0" collapsed="false">
      <c r="A156" s="4" t="s">
        <v>116</v>
      </c>
      <c r="B156" s="4" t="s">
        <v>36</v>
      </c>
      <c r="C156" s="6" t="n">
        <v>20.793</v>
      </c>
      <c r="D156" s="4" t="s">
        <v>165</v>
      </c>
      <c r="E156" s="15" t="s">
        <v>172</v>
      </c>
    </row>
    <row r="157" customFormat="false" ht="15" hidden="false" customHeight="true" outlineLevel="0" collapsed="false">
      <c r="A157" s="4" t="s">
        <v>116</v>
      </c>
      <c r="B157" s="4" t="s">
        <v>36</v>
      </c>
      <c r="C157" s="6" t="n">
        <v>29.586</v>
      </c>
      <c r="D157" s="14" t="s">
        <v>164</v>
      </c>
      <c r="E157" s="15" t="s">
        <v>223</v>
      </c>
    </row>
    <row r="158" customFormat="false" ht="15" hidden="false" customHeight="true" outlineLevel="0" collapsed="false">
      <c r="A158" s="4" t="s">
        <v>116</v>
      </c>
      <c r="B158" s="4" t="s">
        <v>36</v>
      </c>
      <c r="C158" s="6" t="n">
        <v>29.599</v>
      </c>
      <c r="D158" s="4" t="s">
        <v>169</v>
      </c>
      <c r="E158" s="15" t="s">
        <v>180</v>
      </c>
    </row>
    <row r="159" customFormat="false" ht="15" hidden="false" customHeight="true" outlineLevel="0" collapsed="false">
      <c r="A159" s="4" t="s">
        <v>116</v>
      </c>
      <c r="B159" s="4" t="s">
        <v>36</v>
      </c>
      <c r="C159" s="6" t="n">
        <v>29.641</v>
      </c>
      <c r="D159" s="4" t="s">
        <v>165</v>
      </c>
      <c r="E159" s="15" t="s">
        <v>181</v>
      </c>
    </row>
    <row r="160" customFormat="false" ht="15" hidden="false" customHeight="true" outlineLevel="0" collapsed="false">
      <c r="A160" s="4" t="s">
        <v>116</v>
      </c>
      <c r="B160" s="4" t="s">
        <v>36</v>
      </c>
      <c r="C160" s="6" t="n">
        <v>35.998</v>
      </c>
      <c r="D160" s="4" t="s">
        <v>165</v>
      </c>
      <c r="E160" s="15" t="s">
        <v>224</v>
      </c>
    </row>
    <row r="161" customFormat="false" ht="15" hidden="false" customHeight="true" outlineLevel="0" collapsed="false">
      <c r="A161" s="4" t="s">
        <v>116</v>
      </c>
      <c r="B161" s="4" t="s">
        <v>36</v>
      </c>
      <c r="C161" s="6" t="n">
        <v>42.728</v>
      </c>
      <c r="D161" s="14" t="s">
        <v>164</v>
      </c>
      <c r="E161" s="15" t="s">
        <v>225</v>
      </c>
    </row>
    <row r="162" customFormat="false" ht="15" hidden="false" customHeight="true" outlineLevel="0" collapsed="false">
      <c r="A162" s="4" t="s">
        <v>116</v>
      </c>
      <c r="B162" s="4" t="s">
        <v>36</v>
      </c>
      <c r="C162" s="6" t="n">
        <v>42.734</v>
      </c>
      <c r="D162" s="4" t="s">
        <v>169</v>
      </c>
      <c r="E162" s="15" t="s">
        <v>176</v>
      </c>
    </row>
    <row r="163" customFormat="false" ht="15" hidden="false" customHeight="true" outlineLevel="0" collapsed="false">
      <c r="A163" s="4" t="s">
        <v>116</v>
      </c>
      <c r="B163" s="4" t="s">
        <v>36</v>
      </c>
      <c r="C163" s="6" t="n">
        <v>42.76</v>
      </c>
      <c r="D163" s="4" t="s">
        <v>165</v>
      </c>
      <c r="E163" s="15" t="s">
        <v>177</v>
      </c>
    </row>
    <row r="164" customFormat="false" ht="15" hidden="false" customHeight="true" outlineLevel="0" collapsed="false">
      <c r="A164" s="4" t="s">
        <v>116</v>
      </c>
      <c r="B164" s="4" t="s">
        <v>36</v>
      </c>
      <c r="C164" s="6" t="n">
        <v>46.749</v>
      </c>
      <c r="D164" s="4" t="s">
        <v>165</v>
      </c>
      <c r="E164" s="15" t="s">
        <v>209</v>
      </c>
    </row>
    <row r="165" customFormat="false" ht="15" hidden="false" customHeight="true" outlineLevel="0" collapsed="false">
      <c r="A165" s="4" t="s">
        <v>120</v>
      </c>
      <c r="B165" s="4" t="s">
        <v>36</v>
      </c>
      <c r="C165" s="6" t="n">
        <v>12.249</v>
      </c>
      <c r="D165" s="14" t="s">
        <v>164</v>
      </c>
      <c r="E165" s="15" t="s">
        <v>122</v>
      </c>
    </row>
    <row r="166" customFormat="false" ht="15" hidden="false" customHeight="true" outlineLevel="0" collapsed="false">
      <c r="A166" s="4" t="s">
        <v>120</v>
      </c>
      <c r="B166" s="4" t="s">
        <v>36</v>
      </c>
      <c r="C166" s="6" t="n">
        <v>12.281</v>
      </c>
      <c r="D166" s="4" t="s">
        <v>169</v>
      </c>
      <c r="E166" s="15" t="s">
        <v>183</v>
      </c>
    </row>
    <row r="167" customFormat="false" ht="15" hidden="false" customHeight="true" outlineLevel="0" collapsed="false">
      <c r="A167" s="4" t="s">
        <v>120</v>
      </c>
      <c r="B167" s="4" t="s">
        <v>36</v>
      </c>
      <c r="C167" s="6" t="n">
        <v>12.311</v>
      </c>
      <c r="D167" s="4" t="s">
        <v>165</v>
      </c>
      <c r="E167" s="15" t="s">
        <v>184</v>
      </c>
    </row>
    <row r="168" customFormat="false" ht="15" hidden="false" customHeight="true" outlineLevel="0" collapsed="false">
      <c r="A168" s="4" t="s">
        <v>120</v>
      </c>
      <c r="B168" s="4" t="s">
        <v>36</v>
      </c>
      <c r="C168" s="6" t="n">
        <v>22.388</v>
      </c>
      <c r="D168" s="14" t="s">
        <v>164</v>
      </c>
      <c r="E168" s="15" t="s">
        <v>226</v>
      </c>
    </row>
    <row r="169" customFormat="false" ht="15" hidden="false" customHeight="true" outlineLevel="0" collapsed="false">
      <c r="A169" s="4" t="s">
        <v>120</v>
      </c>
      <c r="B169" s="4" t="s">
        <v>36</v>
      </c>
      <c r="C169" s="6" t="n">
        <v>23.176</v>
      </c>
      <c r="D169" s="4" t="s">
        <v>165</v>
      </c>
      <c r="E169" s="15" t="s">
        <v>227</v>
      </c>
    </row>
    <row r="170" customFormat="false" ht="15" hidden="false" customHeight="true" outlineLevel="0" collapsed="false">
      <c r="A170" s="4" t="s">
        <v>120</v>
      </c>
      <c r="B170" s="4" t="s">
        <v>36</v>
      </c>
      <c r="C170" s="6" t="n">
        <v>28.094</v>
      </c>
      <c r="D170" s="14" t="s">
        <v>164</v>
      </c>
      <c r="E170" s="15" t="s">
        <v>228</v>
      </c>
    </row>
    <row r="171" customFormat="false" ht="15" hidden="false" customHeight="true" outlineLevel="0" collapsed="false">
      <c r="A171" s="4" t="s">
        <v>120</v>
      </c>
      <c r="B171" s="4" t="s">
        <v>36</v>
      </c>
      <c r="C171" s="6" t="n">
        <v>29.136</v>
      </c>
      <c r="D171" s="4" t="s">
        <v>169</v>
      </c>
      <c r="E171" s="15" t="s">
        <v>186</v>
      </c>
    </row>
    <row r="172" customFormat="false" ht="15" hidden="false" customHeight="true" outlineLevel="0" collapsed="false">
      <c r="A172" s="4" t="s">
        <v>120</v>
      </c>
      <c r="B172" s="4" t="s">
        <v>36</v>
      </c>
      <c r="C172" s="6" t="n">
        <v>29.177</v>
      </c>
      <c r="D172" s="4" t="s">
        <v>165</v>
      </c>
      <c r="E172" s="15" t="s">
        <v>229</v>
      </c>
    </row>
    <row r="173" customFormat="false" ht="15" hidden="false" customHeight="true" outlineLevel="0" collapsed="false">
      <c r="A173" s="4" t="s">
        <v>120</v>
      </c>
      <c r="B173" s="4" t="s">
        <v>36</v>
      </c>
      <c r="C173" s="6" t="n">
        <v>32.741</v>
      </c>
      <c r="D173" s="4" t="s">
        <v>165</v>
      </c>
      <c r="E173" s="15" t="s">
        <v>188</v>
      </c>
    </row>
    <row r="174" customFormat="false" ht="15" hidden="false" customHeight="true" outlineLevel="0" collapsed="false">
      <c r="A174" s="4" t="s">
        <v>120</v>
      </c>
      <c r="B174" s="4" t="s">
        <v>36</v>
      </c>
      <c r="C174" s="6" t="n">
        <v>35.778</v>
      </c>
      <c r="D174" s="4" t="s">
        <v>165</v>
      </c>
      <c r="E174" s="15" t="s">
        <v>189</v>
      </c>
    </row>
    <row r="175" customFormat="false" ht="15" hidden="false" customHeight="true" outlineLevel="0" collapsed="false">
      <c r="A175" s="4" t="s">
        <v>120</v>
      </c>
      <c r="B175" s="4" t="s">
        <v>36</v>
      </c>
      <c r="C175" s="6" t="n">
        <v>42.866</v>
      </c>
      <c r="D175" s="14" t="s">
        <v>164</v>
      </c>
      <c r="E175" s="15" t="s">
        <v>230</v>
      </c>
    </row>
    <row r="176" customFormat="false" ht="15" hidden="false" customHeight="true" outlineLevel="0" collapsed="false">
      <c r="A176" s="4" t="s">
        <v>120</v>
      </c>
      <c r="B176" s="4" t="s">
        <v>36</v>
      </c>
      <c r="C176" s="6" t="n">
        <v>42.878</v>
      </c>
      <c r="D176" s="4" t="s">
        <v>169</v>
      </c>
      <c r="E176" s="15" t="s">
        <v>57</v>
      </c>
    </row>
    <row r="177" customFormat="false" ht="15" hidden="false" customHeight="true" outlineLevel="0" collapsed="false">
      <c r="A177" s="4" t="s">
        <v>120</v>
      </c>
      <c r="B177" s="4" t="s">
        <v>36</v>
      </c>
      <c r="C177" s="6" t="n">
        <v>42.97</v>
      </c>
      <c r="D177" s="4" t="s">
        <v>165</v>
      </c>
      <c r="E177" s="15" t="s">
        <v>173</v>
      </c>
    </row>
    <row r="178" customFormat="false" ht="15" hidden="false" customHeight="true" outlineLevel="0" collapsed="false">
      <c r="A178" s="4" t="s">
        <v>120</v>
      </c>
      <c r="B178" s="4" t="s">
        <v>36</v>
      </c>
      <c r="C178" s="6" t="n">
        <v>47.988</v>
      </c>
      <c r="D178" s="4" t="s">
        <v>165</v>
      </c>
      <c r="E178" s="15" t="s">
        <v>194</v>
      </c>
    </row>
    <row r="179" customFormat="false" ht="15" hidden="false" customHeight="true" outlineLevel="0" collapsed="false">
      <c r="A179" s="4" t="s">
        <v>120</v>
      </c>
      <c r="B179" s="4" t="s">
        <v>36</v>
      </c>
      <c r="C179" s="6" t="n">
        <v>53.31</v>
      </c>
      <c r="D179" s="14" t="s">
        <v>164</v>
      </c>
      <c r="E179" s="15" t="s">
        <v>231</v>
      </c>
    </row>
    <row r="180" customFormat="false" ht="15" hidden="false" customHeight="true" outlineLevel="0" collapsed="false">
      <c r="A180" s="4" t="s">
        <v>120</v>
      </c>
      <c r="B180" s="4" t="s">
        <v>36</v>
      </c>
      <c r="C180" s="6" t="n">
        <v>54.358</v>
      </c>
      <c r="D180" s="4" t="s">
        <v>169</v>
      </c>
      <c r="E180" s="15" t="s">
        <v>232</v>
      </c>
    </row>
    <row r="181" customFormat="false" ht="15" hidden="false" customHeight="true" outlineLevel="0" collapsed="false">
      <c r="A181" s="4" t="s">
        <v>120</v>
      </c>
      <c r="B181" s="4" t="s">
        <v>36</v>
      </c>
      <c r="C181" s="6" t="n">
        <v>54.987</v>
      </c>
      <c r="D181" s="4" t="s">
        <v>165</v>
      </c>
      <c r="E181" s="15" t="s">
        <v>233</v>
      </c>
    </row>
    <row r="182" customFormat="false" ht="15" hidden="false" customHeight="true" outlineLevel="0" collapsed="false">
      <c r="A182" s="4" t="s">
        <v>120</v>
      </c>
      <c r="B182" s="4" t="s">
        <v>36</v>
      </c>
      <c r="C182" s="6" t="n">
        <v>56.339</v>
      </c>
      <c r="D182" s="14" t="s">
        <v>164</v>
      </c>
      <c r="E182" s="15" t="s">
        <v>234</v>
      </c>
    </row>
    <row r="183" customFormat="false" ht="15" hidden="false" customHeight="true" outlineLevel="0" collapsed="false">
      <c r="A183" s="4" t="s">
        <v>120</v>
      </c>
      <c r="B183" s="4" t="s">
        <v>36</v>
      </c>
      <c r="C183" s="6" t="n">
        <v>57.084</v>
      </c>
      <c r="D183" s="4" t="s">
        <v>169</v>
      </c>
      <c r="E183" s="15" t="s">
        <v>71</v>
      </c>
    </row>
    <row r="184" customFormat="false" ht="15" hidden="false" customHeight="true" outlineLevel="0" collapsed="false">
      <c r="A184" s="4" t="s">
        <v>120</v>
      </c>
      <c r="B184" s="4" t="s">
        <v>36</v>
      </c>
      <c r="C184" s="6" t="n">
        <v>57.127</v>
      </c>
      <c r="D184" s="4" t="s">
        <v>165</v>
      </c>
      <c r="E184" s="15" t="s">
        <v>191</v>
      </c>
    </row>
    <row r="185" customFormat="false" ht="15" hidden="false" customHeight="true" outlineLevel="0" collapsed="false">
      <c r="A185" s="4" t="s">
        <v>120</v>
      </c>
      <c r="B185" s="4" t="s">
        <v>36</v>
      </c>
      <c r="C185" s="6" t="n">
        <v>64.463</v>
      </c>
      <c r="D185" s="4" t="s">
        <v>165</v>
      </c>
      <c r="E185" s="15" t="s">
        <v>192</v>
      </c>
    </row>
    <row r="186" customFormat="false" ht="15" hidden="false" customHeight="true" outlineLevel="0" collapsed="false">
      <c r="A186" s="4" t="s">
        <v>120</v>
      </c>
      <c r="B186" s="4" t="s">
        <v>36</v>
      </c>
      <c r="C186" s="6" t="n">
        <v>71.006</v>
      </c>
      <c r="D186" s="14" t="s">
        <v>164</v>
      </c>
      <c r="E186" s="15" t="s">
        <v>220</v>
      </c>
    </row>
    <row r="187" customFormat="false" ht="15" hidden="false" customHeight="true" outlineLevel="0" collapsed="false">
      <c r="A187" s="4" t="s">
        <v>120</v>
      </c>
      <c r="B187" s="4" t="s">
        <v>36</v>
      </c>
      <c r="C187" s="6" t="n">
        <v>71.01</v>
      </c>
      <c r="D187" s="4" t="s">
        <v>169</v>
      </c>
      <c r="E187" s="15" t="s">
        <v>176</v>
      </c>
    </row>
    <row r="188" customFormat="false" ht="15" hidden="false" customHeight="true" outlineLevel="0" collapsed="false">
      <c r="A188" s="4" t="s">
        <v>120</v>
      </c>
      <c r="B188" s="4" t="s">
        <v>36</v>
      </c>
      <c r="C188" s="6" t="n">
        <v>71.03</v>
      </c>
      <c r="D188" s="4" t="s">
        <v>165</v>
      </c>
      <c r="E188" s="15" t="s">
        <v>177</v>
      </c>
    </row>
    <row r="189" customFormat="false" ht="15" hidden="false" customHeight="true" outlineLevel="0" collapsed="false">
      <c r="A189" s="4" t="s">
        <v>120</v>
      </c>
      <c r="B189" s="4" t="s">
        <v>36</v>
      </c>
      <c r="C189" s="6" t="n">
        <v>74.694</v>
      </c>
      <c r="D189" s="4" t="s">
        <v>165</v>
      </c>
      <c r="E189" s="15" t="s">
        <v>178</v>
      </c>
    </row>
    <row r="190" customFormat="false" ht="15" hidden="false" customHeight="true" outlineLevel="0" collapsed="false">
      <c r="A190" s="4" t="s">
        <v>120</v>
      </c>
      <c r="B190" s="4" t="s">
        <v>36</v>
      </c>
      <c r="C190" s="6" t="n">
        <v>82.6</v>
      </c>
      <c r="D190" s="14" t="s">
        <v>164</v>
      </c>
      <c r="E190" s="15" t="s">
        <v>235</v>
      </c>
    </row>
    <row r="191" customFormat="false" ht="15" hidden="false" customHeight="true" outlineLevel="0" collapsed="false">
      <c r="A191" s="4" t="s">
        <v>120</v>
      </c>
      <c r="B191" s="4" t="s">
        <v>36</v>
      </c>
      <c r="C191" s="6" t="n">
        <v>83.666</v>
      </c>
      <c r="D191" s="4" t="s">
        <v>165</v>
      </c>
      <c r="E191" s="15" t="s">
        <v>236</v>
      </c>
    </row>
    <row r="192" customFormat="false" ht="15" hidden="false" customHeight="true" outlineLevel="0" collapsed="false">
      <c r="A192" s="4" t="s">
        <v>120</v>
      </c>
      <c r="B192" s="4" t="s">
        <v>36</v>
      </c>
      <c r="C192" s="6" t="n">
        <v>88.89</v>
      </c>
      <c r="D192" s="14" t="s">
        <v>164</v>
      </c>
      <c r="E192" s="15" t="s">
        <v>206</v>
      </c>
    </row>
    <row r="193" customFormat="false" ht="15" hidden="false" customHeight="true" outlineLevel="0" collapsed="false">
      <c r="A193" s="4" t="s">
        <v>120</v>
      </c>
      <c r="B193" s="4" t="s">
        <v>36</v>
      </c>
      <c r="C193" s="6" t="n">
        <v>88.903</v>
      </c>
      <c r="D193" s="4" t="s">
        <v>169</v>
      </c>
      <c r="E193" s="15" t="s">
        <v>180</v>
      </c>
    </row>
    <row r="194" customFormat="false" ht="15" hidden="false" customHeight="true" outlineLevel="0" collapsed="false">
      <c r="A194" s="4" t="s">
        <v>120</v>
      </c>
      <c r="B194" s="4" t="s">
        <v>36</v>
      </c>
      <c r="C194" s="6" t="n">
        <v>88.917</v>
      </c>
      <c r="D194" s="4" t="s">
        <v>165</v>
      </c>
      <c r="E194" s="15" t="s">
        <v>181</v>
      </c>
    </row>
    <row r="195" customFormat="false" ht="15" hidden="false" customHeight="true" outlineLevel="0" collapsed="false">
      <c r="A195" s="4" t="s">
        <v>120</v>
      </c>
      <c r="B195" s="4" t="s">
        <v>36</v>
      </c>
      <c r="C195" s="6" t="n">
        <v>93.491</v>
      </c>
      <c r="D195" s="4" t="s">
        <v>165</v>
      </c>
      <c r="E195" s="15" t="s">
        <v>182</v>
      </c>
    </row>
    <row r="196" customFormat="false" ht="15" hidden="false" customHeight="true" outlineLevel="0" collapsed="false">
      <c r="A196" s="4" t="s">
        <v>120</v>
      </c>
      <c r="B196" s="4" t="s">
        <v>36</v>
      </c>
      <c r="C196" s="6" t="n">
        <v>118.339</v>
      </c>
      <c r="D196" s="14" t="s">
        <v>164</v>
      </c>
      <c r="E196" s="15" t="s">
        <v>237</v>
      </c>
    </row>
    <row r="197" customFormat="false" ht="15" hidden="false" customHeight="true" outlineLevel="0" collapsed="false">
      <c r="A197" s="4" t="s">
        <v>120</v>
      </c>
      <c r="B197" s="4" t="s">
        <v>36</v>
      </c>
      <c r="C197" s="6" t="n">
        <v>119.336</v>
      </c>
      <c r="D197" s="4" t="s">
        <v>165</v>
      </c>
      <c r="E197" s="15" t="s">
        <v>238</v>
      </c>
    </row>
    <row r="198" customFormat="false" ht="15" hidden="false" customHeight="false" outlineLevel="0" collapsed="false">
      <c r="A198" s="4" t="s">
        <v>125</v>
      </c>
      <c r="B198" s="4" t="s">
        <v>36</v>
      </c>
      <c r="C198" s="6" t="n">
        <v>5.736</v>
      </c>
      <c r="D198" s="14" t="s">
        <v>164</v>
      </c>
      <c r="E198" s="15" t="s">
        <v>126</v>
      </c>
    </row>
    <row r="199" customFormat="false" ht="15" hidden="false" customHeight="false" outlineLevel="0" collapsed="false">
      <c r="A199" s="4" t="s">
        <v>125</v>
      </c>
      <c r="B199" s="4" t="s">
        <v>36</v>
      </c>
      <c r="C199" s="6" t="n">
        <v>7.072</v>
      </c>
      <c r="D199" s="4" t="s">
        <v>165</v>
      </c>
      <c r="E199" s="15" t="s">
        <v>239</v>
      </c>
    </row>
  </sheetData>
  <autoFilter ref="A1:E1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5"/>
    <col collapsed="false" customWidth="true" hidden="false" outlineLevel="0" max="4" min="4" style="1" width="11"/>
    <col collapsed="false" customWidth="true" hidden="false" outlineLevel="0" max="6" min="5" style="1" width="46"/>
    <col collapsed="false" customWidth="true" hidden="false" outlineLevel="0" max="7" min="7" style="1" width="22"/>
    <col collapsed="false" customWidth="true" hidden="false" outlineLevel="0" max="9" min="8" style="1" width="11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240</v>
      </c>
      <c r="D1" s="2" t="s">
        <v>241</v>
      </c>
      <c r="E1" s="2" t="s">
        <v>242</v>
      </c>
      <c r="F1" s="2" t="s">
        <v>243</v>
      </c>
      <c r="G1" s="2" t="s">
        <v>244</v>
      </c>
      <c r="H1" s="2" t="s">
        <v>245</v>
      </c>
      <c r="I1" s="2" t="s">
        <v>246</v>
      </c>
    </row>
    <row r="2" customFormat="false" ht="15" hidden="false" customHeight="true" outlineLevel="0" collapsed="false">
      <c r="A2" s="4" t="s">
        <v>53</v>
      </c>
      <c r="B2" s="4" t="s">
        <v>36</v>
      </c>
      <c r="C2" s="4" t="n">
        <v>1</v>
      </c>
      <c r="D2" s="6" t="n">
        <v>4.49531531333923</v>
      </c>
      <c r="E2" s="15" t="s">
        <v>62</v>
      </c>
      <c r="F2" s="15" t="s">
        <v>56</v>
      </c>
      <c r="G2" s="4" t="s">
        <v>247</v>
      </c>
      <c r="H2" s="4" t="s">
        <v>248</v>
      </c>
      <c r="I2" s="4"/>
    </row>
    <row r="3" customFormat="false" ht="15" hidden="false" customHeight="true" outlineLevel="0" collapsed="false">
      <c r="A3" s="4" t="s">
        <v>53</v>
      </c>
      <c r="B3" s="4" t="s">
        <v>36</v>
      </c>
      <c r="C3" s="4" t="n">
        <v>2</v>
      </c>
      <c r="D3" s="6" t="n">
        <v>20.8553152084351</v>
      </c>
      <c r="E3" s="15" t="s">
        <v>249</v>
      </c>
      <c r="F3" s="15" t="s">
        <v>84</v>
      </c>
      <c r="G3" s="4" t="s">
        <v>57</v>
      </c>
      <c r="H3" s="4" t="s">
        <v>250</v>
      </c>
      <c r="I3" s="4"/>
    </row>
    <row r="4" customFormat="false" ht="15" hidden="false" customHeight="true" outlineLevel="0" collapsed="false">
      <c r="A4" s="4" t="s">
        <v>53</v>
      </c>
      <c r="B4" s="4" t="s">
        <v>36</v>
      </c>
      <c r="C4" s="4" t="n">
        <v>3</v>
      </c>
      <c r="D4" s="6" t="n">
        <v>34.9433152675629</v>
      </c>
      <c r="E4" s="15" t="s">
        <v>251</v>
      </c>
      <c r="F4" s="15" t="s">
        <v>175</v>
      </c>
      <c r="G4" s="4" t="s">
        <v>176</v>
      </c>
      <c r="H4" s="4" t="s">
        <v>252</v>
      </c>
      <c r="I4" s="4"/>
    </row>
    <row r="5" customFormat="false" ht="15" hidden="false" customHeight="true" outlineLevel="0" collapsed="false">
      <c r="A5" s="4" t="s">
        <v>53</v>
      </c>
      <c r="B5" s="4" t="s">
        <v>36</v>
      </c>
      <c r="C5" s="4" t="n">
        <v>4</v>
      </c>
      <c r="D5" s="6" t="n">
        <v>43.9573152065277</v>
      </c>
      <c r="E5" s="15" t="s">
        <v>253</v>
      </c>
      <c r="F5" s="15" t="s">
        <v>179</v>
      </c>
      <c r="G5" s="4" t="s">
        <v>180</v>
      </c>
      <c r="H5" s="4" t="s">
        <v>254</v>
      </c>
      <c r="I5" s="4"/>
    </row>
    <row r="6" customFormat="false" ht="15" hidden="false" customHeight="true" outlineLevel="0" collapsed="false">
      <c r="A6" s="4" t="s">
        <v>66</v>
      </c>
      <c r="B6" s="4" t="s">
        <v>36</v>
      </c>
      <c r="C6" s="4" t="n">
        <v>1</v>
      </c>
      <c r="D6" s="6" t="n">
        <v>11.7049963474274</v>
      </c>
      <c r="E6" s="15" t="s">
        <v>80</v>
      </c>
      <c r="F6" s="15" t="s">
        <v>69</v>
      </c>
      <c r="G6" s="4" t="s">
        <v>247</v>
      </c>
      <c r="H6" s="4"/>
      <c r="I6" s="4" t="s">
        <v>58</v>
      </c>
    </row>
    <row r="7" customFormat="false" ht="15" hidden="false" customHeight="true" outlineLevel="0" collapsed="false">
      <c r="A7" s="4" t="s">
        <v>66</v>
      </c>
      <c r="B7" s="4" t="s">
        <v>36</v>
      </c>
      <c r="C7" s="4" t="n">
        <v>2</v>
      </c>
      <c r="D7" s="6" t="n">
        <v>21.5759961605072</v>
      </c>
      <c r="E7" s="15" t="s">
        <v>73</v>
      </c>
      <c r="F7" s="15" t="s">
        <v>185</v>
      </c>
      <c r="G7" s="4" t="s">
        <v>247</v>
      </c>
      <c r="H7" s="4" t="s">
        <v>255</v>
      </c>
      <c r="I7" s="4"/>
    </row>
    <row r="8" customFormat="false" ht="15" hidden="false" customHeight="true" outlineLevel="0" collapsed="false">
      <c r="A8" s="4" t="s">
        <v>66</v>
      </c>
      <c r="B8" s="4" t="s">
        <v>36</v>
      </c>
      <c r="C8" s="4" t="n">
        <v>3</v>
      </c>
      <c r="D8" s="6" t="n">
        <v>35.0689961910248</v>
      </c>
      <c r="E8" s="15" t="s">
        <v>256</v>
      </c>
      <c r="F8" s="15" t="s">
        <v>190</v>
      </c>
      <c r="G8" s="4" t="s">
        <v>71</v>
      </c>
      <c r="H8" s="4" t="s">
        <v>257</v>
      </c>
      <c r="I8" s="4"/>
    </row>
    <row r="9" customFormat="false" ht="15" hidden="false" customHeight="true" outlineLevel="0" collapsed="false">
      <c r="A9" s="4" t="s">
        <v>66</v>
      </c>
      <c r="B9" s="4" t="s">
        <v>36</v>
      </c>
      <c r="C9" s="4" t="n">
        <v>4</v>
      </c>
      <c r="D9" s="6" t="n">
        <v>47.2689962387085</v>
      </c>
      <c r="E9" s="15" t="s">
        <v>251</v>
      </c>
      <c r="F9" s="15" t="s">
        <v>193</v>
      </c>
      <c r="G9" s="4" t="s">
        <v>176</v>
      </c>
      <c r="H9" s="4" t="s">
        <v>258</v>
      </c>
      <c r="I9" s="4"/>
    </row>
    <row r="10" customFormat="false" ht="15" hidden="false" customHeight="true" outlineLevel="0" collapsed="false">
      <c r="A10" s="4" t="s">
        <v>66</v>
      </c>
      <c r="B10" s="4" t="s">
        <v>36</v>
      </c>
      <c r="C10" s="4" t="n">
        <v>5</v>
      </c>
      <c r="D10" s="6" t="n">
        <v>56.8929963111877</v>
      </c>
      <c r="E10" s="15" t="s">
        <v>253</v>
      </c>
      <c r="F10" s="15" t="s">
        <v>179</v>
      </c>
      <c r="G10" s="4" t="s">
        <v>180</v>
      </c>
      <c r="H10" s="4" t="s">
        <v>259</v>
      </c>
      <c r="I10" s="4"/>
    </row>
    <row r="11" customFormat="false" ht="15" hidden="false" customHeight="true" outlineLevel="0" collapsed="false">
      <c r="A11" s="4" t="s">
        <v>75</v>
      </c>
      <c r="B11" s="4" t="s">
        <v>36</v>
      </c>
      <c r="C11" s="4" t="n">
        <v>1</v>
      </c>
      <c r="D11" s="6" t="n">
        <v>4.32517600059509</v>
      </c>
      <c r="E11" s="15" t="s">
        <v>80</v>
      </c>
      <c r="F11" s="15" t="s">
        <v>69</v>
      </c>
      <c r="G11" s="4" t="s">
        <v>247</v>
      </c>
      <c r="H11" s="4" t="s">
        <v>260</v>
      </c>
      <c r="I11" s="4"/>
    </row>
    <row r="12" customFormat="false" ht="15" hidden="false" customHeight="true" outlineLevel="0" collapsed="false">
      <c r="A12" s="4" t="s">
        <v>75</v>
      </c>
      <c r="B12" s="4" t="s">
        <v>36</v>
      </c>
      <c r="C12" s="4" t="n">
        <v>2</v>
      </c>
      <c r="D12" s="6" t="n">
        <v>26.3891761302948</v>
      </c>
      <c r="E12" s="15" t="s">
        <v>249</v>
      </c>
      <c r="F12" s="15" t="s">
        <v>84</v>
      </c>
      <c r="G12" s="4" t="s">
        <v>57</v>
      </c>
      <c r="H12" s="4" t="s">
        <v>261</v>
      </c>
      <c r="I12" s="4"/>
    </row>
    <row r="13" customFormat="false" ht="15" hidden="false" customHeight="true" outlineLevel="0" collapsed="false">
      <c r="A13" s="4" t="s">
        <v>75</v>
      </c>
      <c r="B13" s="4" t="s">
        <v>36</v>
      </c>
      <c r="C13" s="4" t="n">
        <v>3</v>
      </c>
      <c r="D13" s="6" t="n">
        <v>40.2111759185791</v>
      </c>
      <c r="E13" s="15" t="s">
        <v>251</v>
      </c>
      <c r="F13" s="15" t="s">
        <v>195</v>
      </c>
      <c r="G13" s="4" t="s">
        <v>176</v>
      </c>
      <c r="H13" s="4" t="s">
        <v>262</v>
      </c>
      <c r="I13" s="4"/>
    </row>
    <row r="14" customFormat="false" ht="15" hidden="false" customHeight="true" outlineLevel="0" collapsed="false">
      <c r="A14" s="4" t="s">
        <v>75</v>
      </c>
      <c r="B14" s="4" t="s">
        <v>36</v>
      </c>
      <c r="C14" s="4" t="n">
        <v>4</v>
      </c>
      <c r="D14" s="6" t="n">
        <v>48.1921761035919</v>
      </c>
      <c r="E14" s="15" t="s">
        <v>253</v>
      </c>
      <c r="F14" s="15" t="s">
        <v>196</v>
      </c>
      <c r="G14" s="4" t="s">
        <v>180</v>
      </c>
      <c r="H14" s="4" t="s">
        <v>263</v>
      </c>
      <c r="I14" s="4"/>
    </row>
    <row r="15" customFormat="false" ht="15" hidden="false" customHeight="true" outlineLevel="0" collapsed="false">
      <c r="A15" s="4" t="s">
        <v>82</v>
      </c>
      <c r="B15" s="4" t="s">
        <v>36</v>
      </c>
      <c r="C15" s="4" t="n">
        <v>1</v>
      </c>
      <c r="D15" s="6" t="n">
        <v>-0.225819587707519</v>
      </c>
      <c r="E15" s="15" t="s">
        <v>62</v>
      </c>
      <c r="F15" s="15" t="s">
        <v>264</v>
      </c>
      <c r="G15" s="4" t="s">
        <v>247</v>
      </c>
      <c r="H15" s="4" t="s">
        <v>265</v>
      </c>
      <c r="I15" s="4"/>
    </row>
    <row r="16" customFormat="false" ht="15" hidden="false" customHeight="true" outlineLevel="0" collapsed="false">
      <c r="A16" s="4" t="s">
        <v>82</v>
      </c>
      <c r="B16" s="4" t="s">
        <v>36</v>
      </c>
      <c r="C16" s="4" t="n">
        <v>2</v>
      </c>
      <c r="D16" s="6" t="n">
        <v>27.6293661594391</v>
      </c>
      <c r="E16" s="15" t="s">
        <v>249</v>
      </c>
      <c r="F16" s="15" t="s">
        <v>84</v>
      </c>
      <c r="G16" s="4" t="s">
        <v>57</v>
      </c>
      <c r="H16" s="4" t="s">
        <v>266</v>
      </c>
      <c r="I16" s="4"/>
    </row>
    <row r="17" customFormat="false" ht="15" hidden="false" customHeight="true" outlineLevel="0" collapsed="false">
      <c r="A17" s="4" t="s">
        <v>82</v>
      </c>
      <c r="B17" s="4" t="s">
        <v>36</v>
      </c>
      <c r="C17" s="4" t="n">
        <v>3</v>
      </c>
      <c r="D17" s="6" t="n">
        <v>43.8613660335541</v>
      </c>
      <c r="E17" s="15" t="s">
        <v>251</v>
      </c>
      <c r="F17" s="15" t="s">
        <v>197</v>
      </c>
      <c r="G17" s="4" t="s">
        <v>176</v>
      </c>
      <c r="H17" s="4" t="s">
        <v>267</v>
      </c>
      <c r="I17" s="4"/>
    </row>
    <row r="18" customFormat="false" ht="15" hidden="false" customHeight="true" outlineLevel="0" collapsed="false">
      <c r="A18" s="4" t="s">
        <v>159</v>
      </c>
      <c r="B18" s="4" t="s">
        <v>36</v>
      </c>
      <c r="C18" s="4" t="n">
        <v>1</v>
      </c>
      <c r="D18" s="6" t="n">
        <v>8.60157752037048</v>
      </c>
      <c r="E18" s="15" t="s">
        <v>100</v>
      </c>
      <c r="F18" s="15" t="s">
        <v>96</v>
      </c>
      <c r="G18" s="4" t="s">
        <v>247</v>
      </c>
      <c r="H18" s="4" t="s">
        <v>268</v>
      </c>
      <c r="I18" s="4"/>
    </row>
    <row r="19" customFormat="false" ht="15" hidden="false" customHeight="true" outlineLevel="0" collapsed="false">
      <c r="A19" s="4" t="s">
        <v>159</v>
      </c>
      <c r="B19" s="4" t="s">
        <v>36</v>
      </c>
      <c r="C19" s="4" t="n">
        <v>2</v>
      </c>
      <c r="D19" s="6" t="n">
        <v>33.0625774860382</v>
      </c>
      <c r="E19" s="15" t="s">
        <v>253</v>
      </c>
      <c r="F19" s="15" t="s">
        <v>205</v>
      </c>
      <c r="G19" s="4" t="s">
        <v>180</v>
      </c>
      <c r="H19" s="4" t="s">
        <v>269</v>
      </c>
      <c r="I19" s="4"/>
    </row>
    <row r="20" customFormat="false" ht="15" hidden="false" customHeight="true" outlineLevel="0" collapsed="false">
      <c r="A20" s="4" t="s">
        <v>159</v>
      </c>
      <c r="B20" s="4" t="s">
        <v>36</v>
      </c>
      <c r="C20" s="4" t="n">
        <v>3</v>
      </c>
      <c r="D20" s="6" t="n">
        <v>34.5415775775909</v>
      </c>
      <c r="E20" s="15" t="s">
        <v>253</v>
      </c>
      <c r="F20" s="15" t="s">
        <v>206</v>
      </c>
      <c r="G20" s="4" t="s">
        <v>180</v>
      </c>
      <c r="H20" s="4" t="s">
        <v>270</v>
      </c>
      <c r="I20" s="4"/>
    </row>
    <row r="21" customFormat="false" ht="15" hidden="false" customHeight="true" outlineLevel="0" collapsed="false">
      <c r="A21" s="4" t="s">
        <v>159</v>
      </c>
      <c r="B21" s="4" t="s">
        <v>36</v>
      </c>
      <c r="C21" s="4" t="n">
        <v>4</v>
      </c>
      <c r="D21" s="6" t="n">
        <v>48.7405774593353</v>
      </c>
      <c r="E21" s="15" t="s">
        <v>251</v>
      </c>
      <c r="F21" s="15" t="s">
        <v>208</v>
      </c>
      <c r="G21" s="4" t="s">
        <v>176</v>
      </c>
      <c r="H21" s="4" t="s">
        <v>271</v>
      </c>
      <c r="I21" s="4"/>
    </row>
    <row r="22" customFormat="false" ht="15" hidden="false" customHeight="true" outlineLevel="0" collapsed="false">
      <c r="A22" s="4" t="s">
        <v>95</v>
      </c>
      <c r="B22" s="4" t="s">
        <v>36</v>
      </c>
      <c r="C22" s="4" t="n">
        <v>1</v>
      </c>
      <c r="D22" s="6" t="n">
        <v>7.80811095237732</v>
      </c>
      <c r="E22" s="15" t="s">
        <v>100</v>
      </c>
      <c r="F22" s="15" t="s">
        <v>96</v>
      </c>
      <c r="G22" s="4" t="s">
        <v>247</v>
      </c>
      <c r="H22" s="4" t="s">
        <v>272</v>
      </c>
      <c r="I22" s="4"/>
    </row>
    <row r="23" customFormat="false" ht="15" hidden="false" customHeight="true" outlineLevel="0" collapsed="false">
      <c r="A23" s="4" t="s">
        <v>95</v>
      </c>
      <c r="B23" s="4" t="s">
        <v>36</v>
      </c>
      <c r="C23" s="4" t="n">
        <v>2</v>
      </c>
      <c r="D23" s="6" t="n">
        <v>22.4191107749939</v>
      </c>
      <c r="E23" s="15" t="s">
        <v>256</v>
      </c>
      <c r="F23" s="15" t="s">
        <v>190</v>
      </c>
      <c r="G23" s="4" t="s">
        <v>71</v>
      </c>
      <c r="H23" s="4" t="s">
        <v>273</v>
      </c>
      <c r="I23" s="4"/>
    </row>
    <row r="24" customFormat="false" ht="15" hidden="false" customHeight="true" outlineLevel="0" collapsed="false">
      <c r="A24" s="4" t="s">
        <v>95</v>
      </c>
      <c r="B24" s="4" t="s">
        <v>36</v>
      </c>
      <c r="C24" s="4" t="n">
        <v>3</v>
      </c>
      <c r="D24" s="6" t="n">
        <v>34.4641108512878</v>
      </c>
      <c r="E24" s="15" t="s">
        <v>251</v>
      </c>
      <c r="F24" s="15" t="s">
        <v>195</v>
      </c>
      <c r="G24" s="4" t="s">
        <v>176</v>
      </c>
      <c r="H24" s="4" t="s">
        <v>274</v>
      </c>
      <c r="I24" s="4"/>
    </row>
    <row r="25" customFormat="false" ht="15" hidden="false" customHeight="true" outlineLevel="0" collapsed="false">
      <c r="A25" s="4" t="s">
        <v>95</v>
      </c>
      <c r="B25" s="4" t="s">
        <v>36</v>
      </c>
      <c r="C25" s="4" t="n">
        <v>4</v>
      </c>
      <c r="D25" s="6" t="n">
        <v>41.7531108856201</v>
      </c>
      <c r="E25" s="15" t="s">
        <v>253</v>
      </c>
      <c r="F25" s="15" t="s">
        <v>196</v>
      </c>
      <c r="G25" s="4" t="s">
        <v>180</v>
      </c>
      <c r="H25" s="4" t="s">
        <v>275</v>
      </c>
      <c r="I25" s="4"/>
    </row>
    <row r="26" customFormat="false" ht="15" hidden="false" customHeight="true" outlineLevel="0" collapsed="false">
      <c r="A26" s="4" t="s">
        <v>102</v>
      </c>
      <c r="B26" s="4" t="s">
        <v>36</v>
      </c>
      <c r="C26" s="4" t="n">
        <v>1</v>
      </c>
      <c r="D26" s="6" t="n">
        <v>7.29112315177918</v>
      </c>
      <c r="E26" s="15" t="s">
        <v>80</v>
      </c>
      <c r="F26" s="15" t="s">
        <v>103</v>
      </c>
      <c r="G26" s="4" t="s">
        <v>247</v>
      </c>
      <c r="H26" s="4" t="s">
        <v>276</v>
      </c>
      <c r="I26" s="4"/>
    </row>
    <row r="27" customFormat="false" ht="15" hidden="false" customHeight="true" outlineLevel="0" collapsed="false">
      <c r="A27" s="4" t="s">
        <v>102</v>
      </c>
      <c r="B27" s="4" t="s">
        <v>36</v>
      </c>
      <c r="C27" s="4" t="n">
        <v>2</v>
      </c>
      <c r="D27" s="6" t="n">
        <v>28.8031232357025</v>
      </c>
      <c r="E27" s="15" t="s">
        <v>249</v>
      </c>
      <c r="F27" s="15" t="s">
        <v>84</v>
      </c>
      <c r="G27" s="4" t="s">
        <v>57</v>
      </c>
      <c r="H27" s="4" t="s">
        <v>277</v>
      </c>
      <c r="I27" s="4"/>
    </row>
    <row r="28" customFormat="false" ht="15" hidden="false" customHeight="true" outlineLevel="0" collapsed="false">
      <c r="A28" s="4" t="s">
        <v>102</v>
      </c>
      <c r="B28" s="4" t="s">
        <v>36</v>
      </c>
      <c r="C28" s="4" t="n">
        <v>3</v>
      </c>
      <c r="D28" s="6" t="n">
        <v>42.4861233234406</v>
      </c>
      <c r="E28" s="15" t="s">
        <v>278</v>
      </c>
      <c r="F28" s="15" t="s">
        <v>211</v>
      </c>
      <c r="G28" s="4" t="s">
        <v>212</v>
      </c>
      <c r="H28" s="4" t="s">
        <v>279</v>
      </c>
      <c r="I28" s="4"/>
    </row>
    <row r="29" customFormat="false" ht="15" hidden="false" customHeight="true" outlineLevel="0" collapsed="false">
      <c r="A29" s="4" t="s">
        <v>107</v>
      </c>
      <c r="B29" s="4" t="s">
        <v>36</v>
      </c>
      <c r="C29" s="4" t="n">
        <v>1</v>
      </c>
      <c r="D29" s="6" t="n">
        <v>5.04200172424316</v>
      </c>
      <c r="E29" s="15" t="s">
        <v>80</v>
      </c>
      <c r="F29" s="15" t="s">
        <v>69</v>
      </c>
      <c r="G29" s="4" t="s">
        <v>247</v>
      </c>
      <c r="H29" s="4"/>
      <c r="I29" s="4" t="s">
        <v>58</v>
      </c>
    </row>
    <row r="30" customFormat="false" ht="15" hidden="false" customHeight="true" outlineLevel="0" collapsed="false">
      <c r="A30" s="4" t="s">
        <v>107</v>
      </c>
      <c r="B30" s="4" t="s">
        <v>36</v>
      </c>
      <c r="C30" s="4" t="n">
        <v>2</v>
      </c>
      <c r="D30" s="6" t="n">
        <v>15.1720016002655</v>
      </c>
      <c r="E30" s="15" t="s">
        <v>110</v>
      </c>
      <c r="F30" s="15" t="s">
        <v>213</v>
      </c>
      <c r="G30" s="4" t="s">
        <v>247</v>
      </c>
      <c r="H30" s="4" t="s">
        <v>280</v>
      </c>
      <c r="I30" s="4"/>
    </row>
    <row r="31" customFormat="false" ht="15" hidden="false" customHeight="true" outlineLevel="0" collapsed="false">
      <c r="A31" s="4" t="s">
        <v>107</v>
      </c>
      <c r="B31" s="4" t="s">
        <v>36</v>
      </c>
      <c r="C31" s="4" t="n">
        <v>3</v>
      </c>
      <c r="D31" s="6" t="n">
        <v>27.3150017261505</v>
      </c>
      <c r="E31" s="15" t="s">
        <v>253</v>
      </c>
      <c r="F31" s="15" t="s">
        <v>205</v>
      </c>
      <c r="G31" s="4" t="s">
        <v>180</v>
      </c>
      <c r="H31" s="4" t="s">
        <v>281</v>
      </c>
      <c r="I31" s="4"/>
    </row>
    <row r="32" customFormat="false" ht="15" hidden="false" customHeight="true" outlineLevel="0" collapsed="false">
      <c r="A32" s="4" t="s">
        <v>107</v>
      </c>
      <c r="B32" s="4" t="s">
        <v>36</v>
      </c>
      <c r="C32" s="4" t="n">
        <v>4</v>
      </c>
      <c r="D32" s="6" t="n">
        <v>41.6840016841888</v>
      </c>
      <c r="E32" s="15" t="s">
        <v>251</v>
      </c>
      <c r="F32" s="15" t="s">
        <v>193</v>
      </c>
      <c r="G32" s="4" t="s">
        <v>176</v>
      </c>
      <c r="H32" s="4" t="s">
        <v>282</v>
      </c>
      <c r="I32" s="4"/>
    </row>
    <row r="33" customFormat="false" ht="15" hidden="false" customHeight="true" outlineLevel="0" collapsed="false">
      <c r="A33" s="4" t="s">
        <v>112</v>
      </c>
      <c r="B33" s="4" t="s">
        <v>36</v>
      </c>
      <c r="C33" s="4" t="n">
        <v>1</v>
      </c>
      <c r="D33" s="6" t="n">
        <v>7.77984356880188</v>
      </c>
      <c r="E33" s="15" t="s">
        <v>100</v>
      </c>
      <c r="F33" s="15" t="s">
        <v>113</v>
      </c>
      <c r="G33" s="4" t="s">
        <v>247</v>
      </c>
      <c r="H33" s="4" t="s">
        <v>283</v>
      </c>
      <c r="I33" s="4"/>
    </row>
    <row r="34" customFormat="false" ht="15" hidden="false" customHeight="true" outlineLevel="0" collapsed="false">
      <c r="A34" s="4" t="s">
        <v>112</v>
      </c>
      <c r="B34" s="4" t="s">
        <v>36</v>
      </c>
      <c r="C34" s="4" t="n">
        <v>2</v>
      </c>
      <c r="D34" s="6" t="n">
        <v>20.2298436164856</v>
      </c>
      <c r="E34" s="15" t="s">
        <v>249</v>
      </c>
      <c r="F34" s="15" t="s">
        <v>217</v>
      </c>
      <c r="G34" s="4" t="s">
        <v>57</v>
      </c>
      <c r="H34" s="4" t="s">
        <v>284</v>
      </c>
      <c r="I34" s="4"/>
    </row>
    <row r="35" customFormat="false" ht="15" hidden="false" customHeight="true" outlineLevel="0" collapsed="false">
      <c r="A35" s="4" t="s">
        <v>112</v>
      </c>
      <c r="B35" s="4" t="s">
        <v>36</v>
      </c>
      <c r="C35" s="4" t="n">
        <v>3</v>
      </c>
      <c r="D35" s="6" t="n">
        <v>30.9668436050415</v>
      </c>
      <c r="E35" s="15" t="s">
        <v>251</v>
      </c>
      <c r="F35" s="15" t="s">
        <v>219</v>
      </c>
      <c r="G35" s="4" t="s">
        <v>176</v>
      </c>
      <c r="H35" s="4" t="s">
        <v>285</v>
      </c>
      <c r="I35" s="4"/>
    </row>
    <row r="36" customFormat="false" ht="15" hidden="false" customHeight="true" outlineLevel="0" collapsed="false">
      <c r="A36" s="4" t="s">
        <v>112</v>
      </c>
      <c r="B36" s="4" t="s">
        <v>36</v>
      </c>
      <c r="C36" s="4" t="n">
        <v>4</v>
      </c>
      <c r="D36" s="6" t="n">
        <v>44.4828436374664</v>
      </c>
      <c r="E36" s="15" t="s">
        <v>253</v>
      </c>
      <c r="F36" s="15" t="s">
        <v>222</v>
      </c>
      <c r="G36" s="4" t="s">
        <v>180</v>
      </c>
      <c r="H36" s="4" t="s">
        <v>286</v>
      </c>
      <c r="I36" s="4"/>
    </row>
    <row r="37" customFormat="false" ht="15" hidden="false" customHeight="true" outlineLevel="0" collapsed="false">
      <c r="A37" s="4" t="s">
        <v>116</v>
      </c>
      <c r="B37" s="4" t="s">
        <v>36</v>
      </c>
      <c r="C37" s="4" t="n">
        <v>1</v>
      </c>
      <c r="D37" s="6" t="n">
        <v>14.2186198234558</v>
      </c>
      <c r="E37" s="15" t="s">
        <v>62</v>
      </c>
      <c r="F37" s="15" t="s">
        <v>117</v>
      </c>
      <c r="G37" s="4" t="s">
        <v>247</v>
      </c>
      <c r="H37" s="4" t="s">
        <v>287</v>
      </c>
      <c r="I37" s="4"/>
    </row>
    <row r="38" customFormat="false" ht="15" hidden="false" customHeight="true" outlineLevel="0" collapsed="false">
      <c r="A38" s="4" t="s">
        <v>116</v>
      </c>
      <c r="B38" s="4" t="s">
        <v>36</v>
      </c>
      <c r="C38" s="4" t="n">
        <v>2</v>
      </c>
      <c r="D38" s="6" t="n">
        <v>29.5486197471619</v>
      </c>
      <c r="E38" s="15" t="s">
        <v>253</v>
      </c>
      <c r="F38" s="15" t="s">
        <v>223</v>
      </c>
      <c r="G38" s="4" t="s">
        <v>180</v>
      </c>
      <c r="H38" s="4" t="s">
        <v>288</v>
      </c>
      <c r="I38" s="4"/>
    </row>
    <row r="39" customFormat="false" ht="15" hidden="false" customHeight="true" outlineLevel="0" collapsed="false">
      <c r="A39" s="4" t="s">
        <v>116</v>
      </c>
      <c r="B39" s="4" t="s">
        <v>36</v>
      </c>
      <c r="C39" s="4" t="n">
        <v>3</v>
      </c>
      <c r="D39" s="6" t="n">
        <v>42.6836197376251</v>
      </c>
      <c r="E39" s="15" t="s">
        <v>251</v>
      </c>
      <c r="F39" s="15" t="s">
        <v>225</v>
      </c>
      <c r="G39" s="4" t="s">
        <v>176</v>
      </c>
      <c r="H39" s="4" t="s">
        <v>289</v>
      </c>
      <c r="I39" s="4"/>
    </row>
    <row r="40" customFormat="false" ht="15" hidden="false" customHeight="true" outlineLevel="0" collapsed="false">
      <c r="A40" s="4" t="s">
        <v>120</v>
      </c>
      <c r="B40" s="4" t="s">
        <v>36</v>
      </c>
      <c r="C40" s="4" t="n">
        <v>1</v>
      </c>
      <c r="D40" s="6" t="n">
        <v>12.2282764911652</v>
      </c>
      <c r="E40" s="15" t="s">
        <v>80</v>
      </c>
      <c r="F40" s="15" t="s">
        <v>122</v>
      </c>
      <c r="G40" s="4" t="s">
        <v>247</v>
      </c>
      <c r="H40" s="4"/>
      <c r="I40" s="4" t="s">
        <v>58</v>
      </c>
    </row>
    <row r="41" customFormat="false" ht="15" hidden="false" customHeight="true" outlineLevel="0" collapsed="false">
      <c r="A41" s="4" t="s">
        <v>120</v>
      </c>
      <c r="B41" s="4" t="s">
        <v>36</v>
      </c>
      <c r="C41" s="4" t="n">
        <v>2</v>
      </c>
      <c r="D41" s="6" t="n">
        <v>29.0832765102386</v>
      </c>
      <c r="E41" s="15" t="s">
        <v>73</v>
      </c>
      <c r="F41" s="15" t="s">
        <v>228</v>
      </c>
      <c r="G41" s="4" t="s">
        <v>247</v>
      </c>
      <c r="H41" s="4" t="s">
        <v>290</v>
      </c>
      <c r="I41" s="4"/>
    </row>
    <row r="42" customFormat="false" ht="15" hidden="false" customHeight="true" outlineLevel="0" collapsed="false">
      <c r="A42" s="4" t="s">
        <v>120</v>
      </c>
      <c r="B42" s="4" t="s">
        <v>36</v>
      </c>
      <c r="C42" s="4" t="n">
        <v>3</v>
      </c>
      <c r="D42" s="6" t="n">
        <v>42.8252766132355</v>
      </c>
      <c r="E42" s="15" t="s">
        <v>249</v>
      </c>
      <c r="F42" s="15" t="s">
        <v>230</v>
      </c>
      <c r="G42" s="4" t="s">
        <v>57</v>
      </c>
      <c r="H42" s="4" t="s">
        <v>291</v>
      </c>
      <c r="I42" s="4"/>
    </row>
    <row r="43" customFormat="false" ht="15" hidden="false" customHeight="true" outlineLevel="0" collapsed="false">
      <c r="A43" s="4" t="s">
        <v>120</v>
      </c>
      <c r="B43" s="4" t="s">
        <v>36</v>
      </c>
      <c r="C43" s="4" t="n">
        <v>4</v>
      </c>
      <c r="D43" s="6" t="n">
        <v>54.305276632309</v>
      </c>
      <c r="E43" s="15" t="s">
        <v>292</v>
      </c>
      <c r="F43" s="15" t="s">
        <v>231</v>
      </c>
      <c r="G43" s="4" t="s">
        <v>232</v>
      </c>
      <c r="H43" s="4" t="s">
        <v>293</v>
      </c>
      <c r="I43" s="4"/>
    </row>
    <row r="44" customFormat="false" ht="15" hidden="false" customHeight="true" outlineLevel="0" collapsed="false">
      <c r="A44" s="4" t="s">
        <v>120</v>
      </c>
      <c r="B44" s="4" t="s">
        <v>36</v>
      </c>
      <c r="C44" s="4" t="n">
        <v>5</v>
      </c>
      <c r="D44" s="6" t="n">
        <v>57.0312764644623</v>
      </c>
      <c r="E44" s="15" t="s">
        <v>256</v>
      </c>
      <c r="F44" s="15" t="s">
        <v>234</v>
      </c>
      <c r="G44" s="4" t="s">
        <v>71</v>
      </c>
      <c r="H44" s="4" t="s">
        <v>294</v>
      </c>
      <c r="I44" s="4"/>
    </row>
    <row r="45" customFormat="false" ht="15" hidden="false" customHeight="true" outlineLevel="0" collapsed="false">
      <c r="A45" s="4" t="s">
        <v>120</v>
      </c>
      <c r="B45" s="4" t="s">
        <v>36</v>
      </c>
      <c r="C45" s="4" t="n">
        <v>6</v>
      </c>
      <c r="D45" s="6" t="n">
        <v>70.9572765827179</v>
      </c>
      <c r="E45" s="15" t="s">
        <v>251</v>
      </c>
      <c r="F45" s="15" t="s">
        <v>220</v>
      </c>
      <c r="G45" s="4" t="s">
        <v>176</v>
      </c>
      <c r="H45" s="4" t="s">
        <v>295</v>
      </c>
      <c r="I45" s="4"/>
    </row>
    <row r="46" customFormat="false" ht="15" hidden="false" customHeight="true" outlineLevel="0" collapsed="false">
      <c r="A46" s="4" t="s">
        <v>120</v>
      </c>
      <c r="B46" s="4" t="s">
        <v>36</v>
      </c>
      <c r="C46" s="4" t="n">
        <v>7</v>
      </c>
      <c r="D46" s="6" t="n">
        <v>88.8502764701843</v>
      </c>
      <c r="E46" s="15" t="s">
        <v>253</v>
      </c>
      <c r="F46" s="15" t="s">
        <v>206</v>
      </c>
      <c r="G46" s="4" t="s">
        <v>180</v>
      </c>
      <c r="H46" s="4" t="s">
        <v>296</v>
      </c>
      <c r="I46" s="4"/>
    </row>
  </sheetData>
  <autoFilter ref="A1:I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3" min="3" style="1" width="8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8" min="7" style="1" width="1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3"/>
  </cols>
  <sheetData>
    <row r="1" customFormat="false" ht="15" hidden="false" customHeight="true" outlineLevel="0" collapsed="false">
      <c r="A1" s="16" t="s">
        <v>297</v>
      </c>
    </row>
    <row r="2" customFormat="false" ht="15" hidden="false" customHeight="true" outlineLevel="0" collapsed="false">
      <c r="A2" s="17" t="s">
        <v>298</v>
      </c>
    </row>
    <row r="4" customFormat="false" ht="42" hidden="false" customHeight="true" outlineLevel="0" collapsed="false">
      <c r="A4" s="2" t="s">
        <v>4</v>
      </c>
      <c r="B4" s="2" t="s">
        <v>5</v>
      </c>
      <c r="C4" s="2" t="s">
        <v>299</v>
      </c>
      <c r="D4" s="2" t="s">
        <v>300</v>
      </c>
      <c r="E4" s="2" t="s">
        <v>301</v>
      </c>
      <c r="F4" s="2" t="s">
        <v>302</v>
      </c>
      <c r="G4" s="2" t="s">
        <v>303</v>
      </c>
      <c r="H4" s="2" t="s">
        <v>304</v>
      </c>
      <c r="I4" s="2" t="s">
        <v>305</v>
      </c>
      <c r="J4" s="2" t="s">
        <v>306</v>
      </c>
      <c r="K4" s="2" t="s">
        <v>307</v>
      </c>
    </row>
    <row r="5" customFormat="false" ht="15" hidden="false" customHeight="true" outlineLevel="0" collapsed="false">
      <c r="A5" s="4" t="s">
        <v>38</v>
      </c>
      <c r="B5" s="4" t="s">
        <v>308</v>
      </c>
      <c r="C5" s="4" t="n">
        <f aca="false">COUNTIFS(Experiments!$E$2:$E$5000,$A5)</f>
        <v>3</v>
      </c>
      <c r="D5" s="4" t="n">
        <f aca="false">COUNTIFS(Experiments!$E$2:$E$5000,$A5,Experiments!$Q$2:$Q$5000,"yes")</f>
        <v>0</v>
      </c>
      <c r="E5" s="4" t="n">
        <f aca="false">COUNTIFS(Experiments!$E$2:$E$5000,$A5,Experiments!$Q$2:$Q$5000,"no")</f>
        <v>0</v>
      </c>
      <c r="F5" s="18" t="str">
        <f aca="false">IF(D5+E5=0,"",D5/(D5+E5))</f>
        <v/>
      </c>
      <c r="G5" s="4" t="n">
        <f aca="false">COUNTIFS(Experiments!$E$2:$E$5000,$A5,Experiments!$O$2:$O$5000,"yes")</f>
        <v>0</v>
      </c>
      <c r="H5" s="6" t="str">
        <f aca="false">IF(COUNTIFS(Experiments!$E$2:$E$5000,$A5,Experiments!$R$2:$R$5000,"&lt;&gt;")=0,"",AVERAGEIFS(Experiments!$R$2:$R$5000,Experiments!$E$2:$E$5000,$A5))</f>
        <v/>
      </c>
      <c r="I5" s="6" t="str">
        <f aca="false">IF(COUNTIFS(Experiments!$E$2:$E$5000,$A5,Experiments!$S$2:$S$5000,"&lt;&gt;")=0,"",AVERAGEIFS(Experiments!$S$2:$S$5000,Experiments!$E$2:$E$5000,$A5))</f>
        <v/>
      </c>
      <c r="J5" s="6" t="str">
        <f aca="false">IF(COUNTIFS(Experiments!$E$2:$E$5000,$A5,Experiments!$AC$2:$AC$5000,"&lt;&gt;")=0,"",AVERAGEIFS(Experiments!$AC$2:$AC$5000,Experiments!$E$2:$E$5000,$A5))</f>
        <v/>
      </c>
      <c r="K5" s="6" t="str">
        <f aca="false">IF(COUNTIFS(Experiments!$E$2:$E$5000,$A5,Experiments!$AB$2:$AB$5000,"&lt;&gt;")=0,"",AVERAGEIFS(Experiments!$AB$2:$AB$5000,Experiments!$E$2:$E$5000,$A5))</f>
        <v/>
      </c>
    </row>
    <row r="6" customFormat="false" ht="15" hidden="false" customHeight="true" outlineLevel="0" collapsed="false">
      <c r="A6" s="4" t="s">
        <v>47</v>
      </c>
      <c r="B6" s="4" t="s">
        <v>309</v>
      </c>
      <c r="C6" s="4" t="n">
        <f aca="false">COUNTIFS(Experiments!$E$2:$E$5000,$A6)</f>
        <v>2</v>
      </c>
      <c r="D6" s="4" t="n">
        <f aca="false">COUNTIFS(Experiments!$E$2:$E$5000,$A6,Experiments!$Q$2:$Q$5000,"yes")</f>
        <v>0</v>
      </c>
      <c r="E6" s="4" t="n">
        <f aca="false">COUNTIFS(Experiments!$E$2:$E$5000,$A6,Experiments!$Q$2:$Q$5000,"no")</f>
        <v>0</v>
      </c>
      <c r="F6" s="18" t="str">
        <f aca="false">IF(D6+E6=0,"",D6/(D6+E6))</f>
        <v/>
      </c>
      <c r="G6" s="4" t="n">
        <f aca="false">COUNTIFS(Experiments!$E$2:$E$5000,$A6,Experiments!$O$2:$O$5000,"yes")</f>
        <v>0</v>
      </c>
      <c r="H6" s="6" t="str">
        <f aca="false">IF(COUNTIFS(Experiments!$E$2:$E$5000,$A6,Experiments!$R$2:$R$5000,"&lt;&gt;")=0,"",AVERAGEIFS(Experiments!$R$2:$R$5000,Experiments!$E$2:$E$5000,$A6))</f>
        <v/>
      </c>
      <c r="I6" s="6" t="str">
        <f aca="false">IF(COUNTIFS(Experiments!$E$2:$E$5000,$A6,Experiments!$S$2:$S$5000,"&lt;&gt;")=0,"",AVERAGEIFS(Experiments!$S$2:$S$5000,Experiments!$E$2:$E$5000,$A6))</f>
        <v/>
      </c>
      <c r="J6" s="6" t="str">
        <f aca="false">IF(COUNTIFS(Experiments!$E$2:$E$5000,$A6,Experiments!$AC$2:$AC$5000,"&lt;&gt;")=0,"",AVERAGEIFS(Experiments!$AC$2:$AC$5000,Experiments!$E$2:$E$5000,$A6))</f>
        <v/>
      </c>
      <c r="K6" s="6" t="str">
        <f aca="false">IF(COUNTIFS(Experiments!$E$2:$E$5000,$A6,Experiments!$AB$2:$AB$5000,"&lt;&gt;")=0,"",AVERAGEIFS(Experiments!$AB$2:$AB$5000,Experiments!$E$2:$E$5000,$A6))</f>
        <v/>
      </c>
    </row>
    <row r="7" customFormat="false" ht="15" hidden="false" customHeight="true" outlineLevel="0" collapsed="false">
      <c r="A7" s="4" t="s">
        <v>54</v>
      </c>
      <c r="B7" s="4" t="s">
        <v>310</v>
      </c>
      <c r="C7" s="4" t="n">
        <f aca="false">COUNTIFS(Experiments!$E$2:$E$5000,$A7)</f>
        <v>4</v>
      </c>
      <c r="D7" s="4" t="n">
        <f aca="false">COUNTIFS(Experiments!$E$2:$E$5000,$A7,Experiments!$Q$2:$Q$5000,"yes")</f>
        <v>3</v>
      </c>
      <c r="E7" s="4" t="n">
        <f aca="false">COUNTIFS(Experiments!$E$2:$E$5000,$A7,Experiments!$Q$2:$Q$5000,"no")</f>
        <v>0</v>
      </c>
      <c r="F7" s="18" t="n">
        <f aca="false">IF(D7+E7=0,"",D7/(D7+E7))</f>
        <v>1</v>
      </c>
      <c r="G7" s="4" t="n">
        <f aca="false">COUNTIFS(Experiments!$E$2:$E$5000,$A7,Experiments!$O$2:$O$5000,"yes")</f>
        <v>3</v>
      </c>
      <c r="H7" s="6" t="n">
        <f aca="false">IF(COUNTIFS(Experiments!$E$2:$E$5000,$A7,Experiments!$R$2:$R$5000,"&lt;&gt;")=0,"",AVERAGEIFS(Experiments!$R$2:$R$5000,Experiments!$E$2:$E$5000,$A7))</f>
        <v>4.68525</v>
      </c>
      <c r="I7" s="6" t="n">
        <f aca="false">IF(COUNTIFS(Experiments!$E$2:$E$5000,$A7,Experiments!$S$2:$S$5000,"&lt;&gt;")=0,"",AVERAGEIFS(Experiments!$S$2:$S$5000,Experiments!$E$2:$E$5000,$A7))</f>
        <v>40.02525</v>
      </c>
      <c r="J7" s="6" t="n">
        <f aca="false">IF(COUNTIFS(Experiments!$E$2:$E$5000,$A7,Experiments!$AC$2:$AC$5000,"&lt;&gt;")=0,"",AVERAGEIFS(Experiments!$AC$2:$AC$5000,Experiments!$E$2:$E$5000,$A7))</f>
        <v>20.358</v>
      </c>
      <c r="K7" s="6" t="n">
        <f aca="false">IF(COUNTIFS(Experiments!$E$2:$E$5000,$A7,Experiments!$AB$2:$AB$5000,"&lt;&gt;")=0,"",AVERAGEIFS(Experiments!$AB$2:$AB$5000,Experiments!$E$2:$E$5000,$A7))</f>
        <v>19.66725</v>
      </c>
    </row>
    <row r="8" customFormat="false" ht="15" hidden="false" customHeight="true" outlineLevel="0" collapsed="false">
      <c r="A8" s="4" t="s">
        <v>67</v>
      </c>
      <c r="B8" s="4" t="s">
        <v>311</v>
      </c>
      <c r="C8" s="4" t="n">
        <f aca="false">COUNTIFS(Experiments!$E$2:$E$5000,$A8)</f>
        <v>3</v>
      </c>
      <c r="D8" s="4" t="n">
        <f aca="false">COUNTIFS(Experiments!$E$2:$E$5000,$A8,Experiments!$Q$2:$Q$5000,"yes")</f>
        <v>3</v>
      </c>
      <c r="E8" s="4" t="n">
        <f aca="false">COUNTIFS(Experiments!$E$2:$E$5000,$A8,Experiments!$Q$2:$Q$5000,"no")</f>
        <v>0</v>
      </c>
      <c r="F8" s="18" t="n">
        <f aca="false">IF(D8+E8=0,"",D8/(D8+E8))</f>
        <v>1</v>
      </c>
      <c r="G8" s="4" t="n">
        <f aca="false">COUNTIFS(Experiments!$E$2:$E$5000,$A8,Experiments!$O$2:$O$5000,"yes")</f>
        <v>3</v>
      </c>
      <c r="H8" s="6" t="n">
        <f aca="false">IF(COUNTIFS(Experiments!$E$2:$E$5000,$A8,Experiments!$R$2:$R$5000,"&lt;&gt;")=0,"",AVERAGEIFS(Experiments!$R$2:$R$5000,Experiments!$E$2:$E$5000,$A8))</f>
        <v>15.1026666666667</v>
      </c>
      <c r="I8" s="6" t="n">
        <f aca="false">IF(COUNTIFS(Experiments!$E$2:$E$5000,$A8,Experiments!$S$2:$S$5000,"&lt;&gt;")=0,"",AVERAGEIFS(Experiments!$S$2:$S$5000,Experiments!$E$2:$E$5000,$A8))</f>
        <v>57.1326666666667</v>
      </c>
      <c r="J8" s="6" t="n">
        <f aca="false">IF(COUNTIFS(Experiments!$E$2:$E$5000,$A8,Experiments!$AC$2:$AC$5000,"&lt;&gt;")=0,"",AVERAGEIFS(Experiments!$AC$2:$AC$5000,Experiments!$E$2:$E$5000,$A8))</f>
        <v>33.058</v>
      </c>
      <c r="K8" s="6" t="n">
        <f aca="false">IF(COUNTIFS(Experiments!$E$2:$E$5000,$A8,Experiments!$AB$2:$AB$5000,"&lt;&gt;")=0,"",AVERAGEIFS(Experiments!$AB$2:$AB$5000,Experiments!$E$2:$E$5000,$A8))</f>
        <v>24.0746666666667</v>
      </c>
    </row>
    <row r="9" customFormat="false" ht="15" hidden="false" customHeight="true" outlineLevel="0" collapsed="false">
      <c r="A9" s="4" t="s">
        <v>76</v>
      </c>
      <c r="B9" s="4" t="s">
        <v>312</v>
      </c>
      <c r="C9" s="4" t="n">
        <f aca="false">COUNTIFS(Experiments!$E$2:$E$5000,$A9)</f>
        <v>3</v>
      </c>
      <c r="D9" s="4" t="n">
        <f aca="false">COUNTIFS(Experiments!$E$2:$E$5000,$A9,Experiments!$Q$2:$Q$5000,"yes")</f>
        <v>3</v>
      </c>
      <c r="E9" s="4" t="n">
        <f aca="false">COUNTIFS(Experiments!$E$2:$E$5000,$A9,Experiments!$Q$2:$Q$5000,"no")</f>
        <v>0</v>
      </c>
      <c r="F9" s="18" t="n">
        <f aca="false">IF(D9+E9=0,"",D9/(D9+E9))</f>
        <v>1</v>
      </c>
      <c r="G9" s="4" t="n">
        <f aca="false">COUNTIFS(Experiments!$E$2:$E$5000,$A9,Experiments!$O$2:$O$5000,"yes")</f>
        <v>3</v>
      </c>
      <c r="H9" s="6" t="n">
        <f aca="false">IF(COUNTIFS(Experiments!$E$2:$E$5000,$A9,Experiments!$R$2:$R$5000,"&lt;&gt;")=0,"",AVERAGEIFS(Experiments!$R$2:$R$5000,Experiments!$E$2:$E$5000,$A9))</f>
        <v>7.68966666666667</v>
      </c>
      <c r="I9" s="6" t="n">
        <f aca="false">IF(COUNTIFS(Experiments!$E$2:$E$5000,$A9,Experiments!$S$2:$S$5000,"&lt;&gt;")=0,"",AVERAGEIFS(Experiments!$S$2:$S$5000,Experiments!$E$2:$E$5000,$A9))</f>
        <v>46.968</v>
      </c>
      <c r="J9" s="6" t="n">
        <f aca="false">IF(COUNTIFS(Experiments!$E$2:$E$5000,$A9,Experiments!$AC$2:$AC$5000,"&lt;&gt;")=0,"",AVERAGEIFS(Experiments!$AC$2:$AC$5000,Experiments!$E$2:$E$5000,$A9))</f>
        <v>25.3093333333333</v>
      </c>
      <c r="K9" s="6" t="n">
        <f aca="false">IF(COUNTIFS(Experiments!$E$2:$E$5000,$A9,Experiments!$AB$2:$AB$5000,"&lt;&gt;")=0,"",AVERAGEIFS(Experiments!$AB$2:$AB$5000,Experiments!$E$2:$E$5000,$A9))</f>
        <v>21.6586666666667</v>
      </c>
    </row>
    <row r="10" customFormat="false" ht="15" hidden="false" customHeight="true" outlineLevel="0" collapsed="false">
      <c r="A10" s="4" t="s">
        <v>313</v>
      </c>
      <c r="B10" s="4" t="s">
        <v>314</v>
      </c>
      <c r="C10" s="4" t="n">
        <f aca="false">COUNTIFS(Experiments!$E$2:$E$5000,$A10)</f>
        <v>0</v>
      </c>
      <c r="D10" s="4" t="n">
        <f aca="false">COUNTIFS(Experiments!$E$2:$E$5000,$A10,Experiments!$Q$2:$Q$5000,"yes")</f>
        <v>0</v>
      </c>
      <c r="E10" s="4" t="n">
        <f aca="false">COUNTIFS(Experiments!$E$2:$E$5000,$A10,Experiments!$Q$2:$Q$5000,"no")</f>
        <v>0</v>
      </c>
      <c r="F10" s="18" t="str">
        <f aca="false">IF(D10+E10=0,"",D10/(D10+E10))</f>
        <v/>
      </c>
      <c r="G10" s="4" t="n">
        <f aca="false">COUNTIFS(Experiments!$E$2:$E$5000,$A10,Experiments!$O$2:$O$5000,"yes")</f>
        <v>0</v>
      </c>
      <c r="H10" s="6" t="str">
        <f aca="false">IF(COUNTIFS(Experiments!$E$2:$E$5000,$A10,Experiments!$R$2:$R$5000,"&lt;&gt;")=0,"",AVERAGEIFS(Experiments!$R$2:$R$5000,Experiments!$E$2:$E$5000,$A10))</f>
        <v/>
      </c>
      <c r="I10" s="6" t="str">
        <f aca="false">IF(COUNTIFS(Experiments!$E$2:$E$5000,$A10,Experiments!$S$2:$S$5000,"&lt;&gt;")=0,"",AVERAGEIFS(Experiments!$S$2:$S$5000,Experiments!$E$2:$E$5000,$A10))</f>
        <v/>
      </c>
      <c r="J10" s="6" t="str">
        <f aca="false">IF(COUNTIFS(Experiments!$E$2:$E$5000,$A10,Experiments!$AC$2:$AC$5000,"&lt;&gt;")=0,"",AVERAGEIFS(Experiments!$AC$2:$AC$5000,Experiments!$E$2:$E$5000,$A10))</f>
        <v/>
      </c>
      <c r="K10" s="6" t="str">
        <f aca="false">IF(COUNTIFS(Experiments!$E$2:$E$5000,$A10,Experiments!$AB$2:$AB$5000,"&lt;&gt;")=0,"",AVERAGEIFS(Experiments!$AB$2:$AB$5000,Experiments!$E$2:$E$5000,$A10))</f>
        <v/>
      </c>
    </row>
    <row r="11" customFormat="false" ht="15" hidden="false" customHeight="true" outlineLevel="0" collapsed="false">
      <c r="A11" s="4" t="s">
        <v>315</v>
      </c>
      <c r="B11" s="4" t="s">
        <v>316</v>
      </c>
      <c r="C11" s="4" t="n">
        <f aca="false">COUNTIFS(Experiments!$E$2:$E$5000,$A11)</f>
        <v>0</v>
      </c>
      <c r="D11" s="4" t="n">
        <f aca="false">COUNTIFS(Experiments!$E$2:$E$5000,$A11,Experiments!$Q$2:$Q$5000,"yes")</f>
        <v>0</v>
      </c>
      <c r="E11" s="4" t="n">
        <f aca="false">COUNTIFS(Experiments!$E$2:$E$5000,$A11,Experiments!$Q$2:$Q$5000,"no")</f>
        <v>0</v>
      </c>
      <c r="F11" s="18" t="str">
        <f aca="false">IF(D11+E11=0,"",D11/(D11+E11))</f>
        <v/>
      </c>
      <c r="G11" s="4" t="n">
        <f aca="false">COUNTIFS(Experiments!$E$2:$E$5000,$A11,Experiments!$O$2:$O$5000,"yes")</f>
        <v>0</v>
      </c>
      <c r="H11" s="6" t="str">
        <f aca="false">IF(COUNTIFS(Experiments!$E$2:$E$5000,$A11,Experiments!$R$2:$R$5000,"&lt;&gt;")=0,"",AVERAGEIFS(Experiments!$R$2:$R$5000,Experiments!$E$2:$E$5000,$A11))</f>
        <v/>
      </c>
      <c r="I11" s="6" t="str">
        <f aca="false">IF(COUNTIFS(Experiments!$E$2:$E$5000,$A11,Experiments!$S$2:$S$5000,"&lt;&gt;")=0,"",AVERAGEIFS(Experiments!$S$2:$S$5000,Experiments!$E$2:$E$5000,$A11))</f>
        <v/>
      </c>
      <c r="J11" s="6" t="str">
        <f aca="false">IF(COUNTIFS(Experiments!$E$2:$E$5000,$A11,Experiments!$AC$2:$AC$5000,"&lt;&gt;")=0,"",AVERAGEIFS(Experiments!$AC$2:$AC$5000,Experiments!$E$2:$E$5000,$A11))</f>
        <v/>
      </c>
      <c r="K11" s="6" t="str">
        <f aca="false">IF(COUNTIFS(Experiments!$E$2:$E$5000,$A11,Experiments!$AB$2:$AB$5000,"&lt;&gt;")=0,"",AVERAGEIFS(Experiments!$AB$2:$AB$5000,Experiments!$E$2:$E$5000,$A11))</f>
        <v/>
      </c>
    </row>
    <row r="12" customFormat="false" ht="15" hidden="false" customHeight="true" outlineLevel="0" collapsed="false">
      <c r="A12" s="14" t="s">
        <v>317</v>
      </c>
      <c r="B12" s="14"/>
      <c r="C12" s="14" t="n">
        <f aca="false">SUM(C5:C11)</f>
        <v>15</v>
      </c>
      <c r="D12" s="14" t="n">
        <f aca="false">SUM(D5:D11)</f>
        <v>9</v>
      </c>
      <c r="E12" s="14" t="n">
        <f aca="false">SUM(E5:E11)</f>
        <v>0</v>
      </c>
      <c r="F12" s="19" t="n">
        <f aca="false">IF(D12+E12=0,"",D12/(D12+E12))</f>
        <v>1</v>
      </c>
      <c r="G12" s="14" t="n">
        <f aca="false">SUM(G5:G11)</f>
        <v>9</v>
      </c>
      <c r="H12" s="20" t="n">
        <f aca="false">IF(COUNT(Experiments!$R$2:$R$5000)=0,"",AVERAGE(Experiments!$R$2:$R$5000))</f>
        <v>8.7118</v>
      </c>
      <c r="I12" s="20" t="n">
        <f aca="false">IF(COUNT(Experiments!$S$2:$S$5000)=0,"",AVERAGE(Experiments!$S$2:$S$5000))</f>
        <v>47.2403</v>
      </c>
      <c r="J12" s="20" t="n">
        <f aca="false">IF(COUNT(Experiments!$AC$2:$AC$5000)=0,"",AVERAGE(Experiments!$AC$2:$AC$5000))</f>
        <v>25.6534</v>
      </c>
      <c r="K12" s="20" t="n">
        <f aca="false">IF(COUNT(Experiments!$AB$2:$AB$5000)=0,"",AVERAGE(Experiments!$AB$2:$AB$5000))</f>
        <v>21.5869</v>
      </c>
    </row>
    <row r="14" customFormat="false" ht="15" hidden="false" customHeight="true" outlineLevel="0" collapsed="false">
      <c r="A14" s="21" t="s">
        <v>318</v>
      </c>
    </row>
    <row r="15" customFormat="false" ht="15" hidden="false" customHeight="true" outlineLevel="0" collapsed="false">
      <c r="A15" s="22" t="s">
        <v>4</v>
      </c>
      <c r="B15" s="22" t="s">
        <v>37</v>
      </c>
    </row>
    <row r="16" customFormat="false" ht="15" hidden="false" customHeight="true" outlineLevel="0" collapsed="false">
      <c r="A16" s="10" t="s">
        <v>38</v>
      </c>
      <c r="B16" s="10" t="n">
        <f aca="false">COUNTIFS(Experiments!$E$2:$E$5000,$A16,Experiments!$D$2:$D$5000,"Layout A")</f>
        <v>3</v>
      </c>
    </row>
    <row r="17" customFormat="false" ht="15" hidden="false" customHeight="true" outlineLevel="0" collapsed="false">
      <c r="A17" s="10" t="s">
        <v>47</v>
      </c>
      <c r="B17" s="10" t="n">
        <f aca="false">COUNTIFS(Experiments!$E$2:$E$5000,$A17,Experiments!$D$2:$D$5000,"Layout A")</f>
        <v>2</v>
      </c>
    </row>
    <row r="18" customFormat="false" ht="15" hidden="false" customHeight="true" outlineLevel="0" collapsed="false">
      <c r="A18" s="10" t="s">
        <v>54</v>
      </c>
      <c r="B18" s="10" t="n">
        <f aca="false">COUNTIFS(Experiments!$E$2:$E$5000,$A18,Experiments!$D$2:$D$5000,"Layout A")</f>
        <v>4</v>
      </c>
    </row>
    <row r="19" customFormat="false" ht="15" hidden="false" customHeight="true" outlineLevel="0" collapsed="false">
      <c r="A19" s="10" t="s">
        <v>67</v>
      </c>
      <c r="B19" s="10" t="n">
        <f aca="false">COUNTIFS(Experiments!$E$2:$E$5000,$A19,Experiments!$D$2:$D$5000,"Layout A")</f>
        <v>3</v>
      </c>
    </row>
    <row r="20" customFormat="false" ht="15" hidden="false" customHeight="true" outlineLevel="0" collapsed="false">
      <c r="A20" s="10" t="s">
        <v>76</v>
      </c>
      <c r="B20" s="10" t="n">
        <f aca="false">COUNTIFS(Experiments!$E$2:$E$5000,$A20,Experiments!$D$2:$D$5000,"Layout A")</f>
        <v>3</v>
      </c>
    </row>
    <row r="21" customFormat="false" ht="15" hidden="false" customHeight="true" outlineLevel="0" collapsed="false">
      <c r="A21" s="10" t="s">
        <v>313</v>
      </c>
      <c r="B21" s="10" t="n">
        <f aca="false">COUNTIFS(Experiments!$E$2:$E$5000,$A21,Experiments!$D$2:$D$5000,"Layout A")</f>
        <v>0</v>
      </c>
    </row>
    <row r="22" customFormat="false" ht="15" hidden="false" customHeight="true" outlineLevel="0" collapsed="false">
      <c r="A22" s="10" t="s">
        <v>315</v>
      </c>
      <c r="B22" s="10" t="n">
        <f aca="false">COUNTIFS(Experiments!$E$2:$E$5000,$A22,Experiments!$D$2:$D$5000,"Layout A")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0"/>
  </cols>
  <sheetData>
    <row r="1" customFormat="false" ht="42" hidden="false" customHeight="true" outlineLevel="0" collapsed="false">
      <c r="A1" s="2" t="s">
        <v>319</v>
      </c>
      <c r="B1" s="2" t="s">
        <v>320</v>
      </c>
    </row>
    <row r="2" customFormat="false" ht="15" hidden="false" customHeight="true" outlineLevel="0" collapsed="false">
      <c r="A2" s="21" t="s">
        <v>321</v>
      </c>
      <c r="B2" s="15" t="s">
        <v>322</v>
      </c>
    </row>
    <row r="3" customFormat="false" ht="15" hidden="false" customHeight="true" outlineLevel="0" collapsed="false">
      <c r="A3" s="21" t="s">
        <v>17</v>
      </c>
      <c r="B3" s="15" t="s">
        <v>323</v>
      </c>
    </row>
    <row r="4" customFormat="false" ht="15" hidden="false" customHeight="true" outlineLevel="0" collapsed="false">
      <c r="A4" s="21" t="s">
        <v>18</v>
      </c>
      <c r="B4" s="15" t="s">
        <v>324</v>
      </c>
    </row>
    <row r="5" customFormat="false" ht="15" hidden="false" customHeight="true" outlineLevel="0" collapsed="false">
      <c r="A5" s="21" t="s">
        <v>20</v>
      </c>
      <c r="B5" s="15" t="s">
        <v>325</v>
      </c>
    </row>
    <row r="6" customFormat="false" ht="15" hidden="false" customHeight="true" outlineLevel="0" collapsed="false">
      <c r="A6" s="21" t="s">
        <v>137</v>
      </c>
      <c r="B6" s="15" t="s">
        <v>326</v>
      </c>
    </row>
    <row r="7" customFormat="false" ht="15" hidden="false" customHeight="true" outlineLevel="0" collapsed="false">
      <c r="A7" s="21" t="s">
        <v>138</v>
      </c>
      <c r="B7" s="15" t="s">
        <v>327</v>
      </c>
    </row>
    <row r="8" customFormat="false" ht="15" hidden="false" customHeight="true" outlineLevel="0" collapsed="false">
      <c r="A8" s="21" t="s">
        <v>139</v>
      </c>
      <c r="B8" s="15" t="s">
        <v>328</v>
      </c>
    </row>
    <row r="9" customFormat="false" ht="15" hidden="false" customHeight="true" outlineLevel="0" collapsed="false">
      <c r="A9" s="21" t="s">
        <v>21</v>
      </c>
      <c r="B9" s="15" t="s">
        <v>329</v>
      </c>
    </row>
    <row r="10" customFormat="false" ht="15" hidden="false" customHeight="true" outlineLevel="0" collapsed="false">
      <c r="A10" s="21" t="s">
        <v>140</v>
      </c>
      <c r="B10" s="15" t="s">
        <v>330</v>
      </c>
    </row>
    <row r="11" customFormat="false" ht="15" hidden="false" customHeight="true" outlineLevel="0" collapsed="false">
      <c r="A11" s="21" t="s">
        <v>141</v>
      </c>
      <c r="B11" s="15" t="s">
        <v>331</v>
      </c>
    </row>
    <row r="12" customFormat="false" ht="15" hidden="false" customHeight="true" outlineLevel="0" collapsed="false">
      <c r="A12" s="21" t="s">
        <v>22</v>
      </c>
      <c r="B12" s="15" t="s">
        <v>332</v>
      </c>
    </row>
    <row r="13" customFormat="false" ht="15" hidden="false" customHeight="true" outlineLevel="0" collapsed="false">
      <c r="A13" s="21" t="s">
        <v>142</v>
      </c>
      <c r="B13" s="15" t="s">
        <v>333</v>
      </c>
    </row>
    <row r="14" customFormat="false" ht="15" hidden="false" customHeight="true" outlineLevel="0" collapsed="false">
      <c r="A14" s="21" t="s">
        <v>143</v>
      </c>
      <c r="B14" s="15" t="s">
        <v>334</v>
      </c>
    </row>
    <row r="15" customFormat="false" ht="15" hidden="false" customHeight="true" outlineLevel="0" collapsed="false">
      <c r="A15" s="21" t="s">
        <v>144</v>
      </c>
      <c r="B15" s="15" t="s">
        <v>335</v>
      </c>
    </row>
    <row r="16" customFormat="false" ht="15" hidden="false" customHeight="true" outlineLevel="0" collapsed="false">
      <c r="A16" s="21" t="s">
        <v>23</v>
      </c>
      <c r="B16" s="15" t="s">
        <v>336</v>
      </c>
    </row>
    <row r="17" customFormat="false" ht="15" hidden="false" customHeight="true" outlineLevel="0" collapsed="false">
      <c r="A17" s="21" t="s">
        <v>24</v>
      </c>
      <c r="B17" s="15" t="s">
        <v>337</v>
      </c>
    </row>
    <row r="18" customFormat="false" ht="15" hidden="false" customHeight="true" outlineLevel="0" collapsed="false">
      <c r="A18" s="21" t="s">
        <v>145</v>
      </c>
      <c r="B18" s="15" t="s">
        <v>338</v>
      </c>
    </row>
    <row r="19" customFormat="false" ht="15" hidden="false" customHeight="true" outlineLevel="0" collapsed="false">
      <c r="A19" s="21" t="s">
        <v>146</v>
      </c>
      <c r="B19" s="15" t="s">
        <v>339</v>
      </c>
    </row>
    <row r="20" customFormat="false" ht="15" hidden="false" customHeight="true" outlineLevel="0" collapsed="false">
      <c r="A20" s="21" t="s">
        <v>25</v>
      </c>
      <c r="B20" s="15" t="s">
        <v>340</v>
      </c>
    </row>
    <row r="21" customFormat="false" ht="15" hidden="false" customHeight="true" outlineLevel="0" collapsed="false">
      <c r="A21" s="21" t="s">
        <v>147</v>
      </c>
      <c r="B21" s="15" t="s">
        <v>341</v>
      </c>
    </row>
    <row r="22" customFormat="false" ht="15" hidden="false" customHeight="true" outlineLevel="0" collapsed="false">
      <c r="A22" s="21" t="s">
        <v>26</v>
      </c>
      <c r="B22" s="15" t="s">
        <v>342</v>
      </c>
    </row>
    <row r="23" customFormat="false" ht="15" hidden="false" customHeight="true" outlineLevel="0" collapsed="false">
      <c r="A23" s="21" t="s">
        <v>27</v>
      </c>
      <c r="B23" s="15" t="s">
        <v>343</v>
      </c>
    </row>
    <row r="24" customFormat="false" ht="15" hidden="false" customHeight="true" outlineLevel="0" collapsed="false">
      <c r="A24" s="21" t="s">
        <v>28</v>
      </c>
      <c r="B24" s="15" t="s">
        <v>344</v>
      </c>
    </row>
    <row r="25" customFormat="false" ht="15" hidden="false" customHeight="true" outlineLevel="0" collapsed="false">
      <c r="A25" s="21" t="s">
        <v>29</v>
      </c>
      <c r="B25" s="15" t="s">
        <v>345</v>
      </c>
    </row>
    <row r="26" customFormat="false" ht="15" hidden="false" customHeight="true" outlineLevel="0" collapsed="false">
      <c r="A26" s="21" t="s">
        <v>346</v>
      </c>
      <c r="B26" s="15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true" outlineLevel="0" collapsed="false">
      <c r="A1" s="1" t="s">
        <v>348</v>
      </c>
    </row>
    <row r="2" customFormat="false" ht="15" hidden="false" customHeight="true" outlineLevel="0" collapsed="false">
      <c r="A2" s="1" t="s">
        <v>349</v>
      </c>
    </row>
    <row r="3" customFormat="false" ht="15" hidden="false" customHeight="true" outlineLevel="0" collapsed="false">
      <c r="A3" s="1" t="s">
        <v>350</v>
      </c>
    </row>
    <row r="4" customFormat="false" ht="15" hidden="false" customHeight="true" outlineLevel="0" collapsed="false">
      <c r="A4" s="1" t="s">
        <v>351</v>
      </c>
    </row>
    <row r="5" customFormat="false" ht="15" hidden="false" customHeight="true" outlineLevel="0" collapsed="false">
      <c r="A5" s="1" t="s">
        <v>352</v>
      </c>
    </row>
    <row r="6" customFormat="false" ht="15" hidden="false" customHeight="true" outlineLevel="0" collapsed="false">
      <c r="A6" s="1" t="s">
        <v>353</v>
      </c>
    </row>
    <row r="7" customFormat="false" ht="15" hidden="false" customHeight="true" outlineLevel="0" collapsed="false">
      <c r="A7" s="1" t="s">
        <v>354</v>
      </c>
    </row>
    <row r="8" customFormat="false" ht="15" hidden="false" customHeight="true" outlineLevel="0" collapsed="false">
      <c r="A8" s="1" t="s">
        <v>355</v>
      </c>
    </row>
    <row r="9" customFormat="false" ht="15" hidden="false" customHeight="true" outlineLevel="0" collapsed="false">
      <c r="A9" s="1" t="s">
        <v>356</v>
      </c>
    </row>
    <row r="10" customFormat="false" ht="15" hidden="false" customHeight="true" outlineLevel="0" collapsed="false">
      <c r="A10" s="1" t="s">
        <v>357</v>
      </c>
    </row>
    <row r="11" customFormat="false" ht="15" hidden="false" customHeight="true" outlineLevel="0" collapsed="false">
      <c r="A11" s="1" t="s">
        <v>358</v>
      </c>
    </row>
    <row r="12" customFormat="false" ht="15" hidden="false" customHeight="true" outlineLevel="0" collapsed="false">
      <c r="A12" s="1" t="s">
        <v>359</v>
      </c>
    </row>
    <row r="13" customFormat="false" ht="15" hidden="false" customHeight="true" outlineLevel="0" collapsed="false">
      <c r="A13" s="1" t="s">
        <v>360</v>
      </c>
    </row>
    <row r="14" customFormat="false" ht="15" hidden="false" customHeight="true" outlineLevel="0" collapsed="false">
      <c r="A14" s="1" t="s">
        <v>361</v>
      </c>
    </row>
    <row r="15" customFormat="false" ht="15" hidden="false" customHeight="true" outlineLevel="0" collapsed="false">
      <c r="A15" s="1" t="s">
        <v>362</v>
      </c>
    </row>
    <row r="16" customFormat="false" ht="15" hidden="false" customHeight="true" outlineLevel="0" collapsed="false">
      <c r="A16" s="1" t="s">
        <v>363</v>
      </c>
    </row>
    <row r="17" customFormat="false" ht="15" hidden="false" customHeight="false" outlineLevel="0" collapsed="false">
      <c r="A17" s="0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2026-09-28T15:04:32Z</dcterms:created>
  <dc:creator>openpyxl</dc:creator>
  <dc:description/>
  <dc:language>en-US</dc:language>
  <cp:lastModifiedBy/>
  <dcterms:modified xsi:type="dcterms:W3CDTF">2026-09-28T18:31:12Z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