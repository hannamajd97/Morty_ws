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eriments" sheetId="1" state="visible" r:id="rId2"/>
    <sheet name="Stage times" sheetId="2" state="visible" r:id="rId3"/>
    <sheet name="Conversation" sheetId="3" state="visible" r:id="rId4"/>
    <sheet name="VLA instructions" sheetId="4" state="visible" r:id="rId5"/>
    <sheet name="Summary" sheetId="5" state="visible" r:id="rId6"/>
    <sheet name="Definitions" sheetId="6" state="visible" r:id="rId7"/>
    <sheet name="_trials" sheetId="7" state="hidden" r:id="rId8"/>
  </sheets>
  <definedNames>
    <definedName function="false" hidden="true" localSheetId="2" name="_xlnm._FilterDatabase" vbProcedure="false">Conversation!$A$1:$E$89</definedName>
    <definedName function="false" hidden="true" localSheetId="0" name="_xlnm._FilterDatabase" vbProcedure="false">Experiments!$A$1:$AI$10</definedName>
    <definedName function="false" hidden="true" localSheetId="1" name="_xlnm._FilterDatabase" vbProcedure="false">'Stage times'!$A$2:$AI$11</definedName>
    <definedName function="false" hidden="true" localSheetId="3" name="_xlnm._FilterDatabase" vbProcedure="false">'VLA instructions'!$A$1:$I$21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R1" authorId="0">
      <text>
        <r>
          <rPr>
            <sz val="11"/>
            <color rgb="FF000000"/>
            <rFont val="Calibri"/>
            <family val="2"/>
            <charset val="1"/>
          </rPr>
          <t xml:space="preserve">The experiment doc's definition: from the moment the command was GIVEN (you stopped saying it; for a pick started by pointing, the moment the object was chosen) until the arm STARTS MOVING. Includes speech recognition, understanding, any clarification ('which one?'), choosing the object and planning.</t>
        </r>
      </text>
    </comment>
    <comment ref="S1" authorId="0">
      <text>
        <r>
          <rPr>
            <sz val="11"/>
            <color rgb="FF000000"/>
            <rFont val="Calibri"/>
            <family val="2"/>
            <charset val="1"/>
          </rPr>
          <t xml:space="preserve">From the first command (or the pointing choice) to the end of the robot's cycle (back home).</t>
        </r>
      </text>
    </comment>
    <comment ref="U1" authorId="0">
      <text>
        <r>
          <rPr>
            <sz val="11"/>
            <color rgb="FF000000"/>
            <rFont val="Calibri"/>
            <family val="2"/>
            <charset val="1"/>
          </rPr>
          <t xml:space="preserve">voice = the task began with a spoken command; pointing/click = the object was chosen by pointing or a click before anything was said.</t>
        </r>
      </text>
    </comment>
    <comment ref="V1" authorId="0">
      <text>
        <r>
          <rPr>
            <sz val="11"/>
            <color rgb="FF000000"/>
            <rFont val="Calibri"/>
            <family val="2"/>
            <charset val="1"/>
          </rPr>
          <t xml:space="preserve">instant rule = the fixed phrase layer (about 0.01 s); language model = Claude (about 1 s).</t>
        </r>
      </text>
    </comment>
    <comment ref="W1" authorId="0">
      <text>
        <r>
          <rPr>
            <sz val="11"/>
            <color rgb="FF000000"/>
            <rFont val="Calibri"/>
            <family val="2"/>
            <charset val="1"/>
          </rPr>
          <t xml:space="preserve">yes = GraspGen had already computed this object's grasps before the command (precompute); no = it ran after the command, and the operator waited for it.</t>
        </r>
      </text>
    </comment>
    <comment ref="X1" authorId="0">
      <text>
        <r>
          <rPr>
            <sz val="11"/>
            <color rgb="FF000000"/>
            <rFont val="Calibri"/>
            <family val="2"/>
            <charset val="1"/>
          </rPr>
          <t xml:space="preserve">How the approach was planned: curve = the smooth approach path (bend + straight slide); lines = blended straight-line segments, the fallback.</t>
        </r>
      </text>
    </comment>
    <comment ref="Y1" authorId="0">
      <text>
        <r>
          <rPr>
            <sz val="11"/>
            <color rgb="FF000000"/>
            <rFont val="Calibri"/>
            <family val="2"/>
            <charset val="1"/>
          </rPr>
          <t xml:space="preserve">yes = the executor had already verified this grasp could be reached (precheck hit), so it moved at once; no = it checked after the candidates arrived (precheck miss) and the operator waited for it.</t>
        </r>
      </text>
    </comment>
    <comment ref="Z1" authorId="0">
      <text>
        <r>
          <rPr>
            <sz val="11"/>
            <color rgb="FF000000"/>
            <rFont val="Calibri"/>
            <family val="2"/>
            <charset val="1"/>
          </rPr>
          <t xml:space="preserve">Which of the GraspGen candidates was executed ('1 of 26' = the best-ranked one).</t>
        </r>
      </text>
    </comment>
    <comment ref="AA1" authorId="0">
      <text>
        <r>
          <rPr>
            <sz val="11"/>
            <color rgb="FF000000"/>
            <rFont val="Calibri"/>
            <family val="2"/>
            <charset val="1"/>
          </rPr>
          <t xml:space="preserve">The command given → the gripper opened at the destination.</t>
        </r>
      </text>
    </comment>
    <comment ref="AB1" authorId="0">
      <text>
        <r>
          <rPr>
            <sz val="11"/>
            <color rgb="FF000000"/>
            <rFont val="Calibri"/>
            <family val="2"/>
            <charset val="1"/>
          </rPr>
          <t xml:space="preserve">Time Morty waited for the operator: at 'Where should I drop it?', 'Should I open the gripper?' and 'Should I go back home?'.</t>
        </r>
      </text>
    </comment>
    <comment ref="AC1" authorId="0">
      <text>
        <r>
          <rPr>
            <sz val="11"/>
            <color rgb="FF000000"/>
            <rFont val="Calibri"/>
            <family val="2"/>
            <charset val="1"/>
          </rPr>
          <t xml:space="preserve">Total time minus the time Morty waited for the operator.</t>
        </r>
      </text>
    </comment>
    <comment ref="AD1" authorId="0">
      <text>
        <r>
          <rPr>
            <sz val="11"/>
            <color rgb="FF000000"/>
            <rFont val="Calibri"/>
            <family val="2"/>
            <charset val="1"/>
          </rPr>
          <t xml:space="preserve">final = rebuilt from exact event times after the trial (the messages' own stamps, else the earliest recorder); preliminary = the window's own times at ⏹ (can be late under load).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D2" authorId="0">
      <text>
        <r>
          <rPr>
            <sz val="11"/>
            <color rgb="FF000000"/>
            <rFont val="Calibri"/>
            <family val="2"/>
            <charset val="1"/>
          </rPr>
          <t xml:space="preserve">voice = the task began with a spoken command; pointing/click = the object was chosen by pointing or a click before anything was said.</t>
        </r>
      </text>
    </comment>
    <comment ref="F2" authorId="0">
      <text>
        <r>
          <rPr>
            <sz val="11"/>
            <color rgb="FF000000"/>
            <rFont val="Calibri"/>
            <family val="2"/>
            <charset val="1"/>
          </rPr>
          <t xml:space="preserve">The end-of-speech wait (0.5-0.8 s, to be sure you finished) plus speech recognition.</t>
        </r>
      </text>
    </comment>
    <comment ref="G2" authorId="0">
      <text>
        <r>
          <rPr>
            <sz val="11"/>
            <color rgb="FF000000"/>
            <rFont val="Calibri"/>
            <family val="2"/>
            <charset val="1"/>
          </rPr>
          <t xml:space="preserve">The end of the operator's voice → the robot command for that sentence.</t>
        </r>
      </text>
    </comment>
    <comment ref="H2" authorId="0">
      <text>
        <r>
          <rPr>
            <sz val="11"/>
            <color rgb="FF000000"/>
            <rFont val="Calibri"/>
            <family val="2"/>
            <charset val="1"/>
          </rPr>
          <t xml:space="preserve">The accepted transcript that caused the command → the command.</t>
        </r>
      </text>
    </comment>
    <comment ref="I2" authorId="0">
      <text>
        <r>
          <rPr>
            <sz val="11"/>
            <color rgb="FF000000"/>
            <rFont val="Calibri"/>
            <family val="2"/>
            <charset val="1"/>
          </rPr>
          <t xml:space="preserve">instant rule = the fixed phrase layer (about 0.01 s); language model = Claude (about 1 s).</t>
        </r>
      </text>
    </comment>
    <comment ref="J2" authorId="0">
      <text>
        <r>
          <rPr>
            <sz val="11"/>
            <color rgb="FF000000"/>
            <rFont val="Calibri"/>
            <family val="2"/>
            <charset val="1"/>
          </rPr>
          <t xml:space="preserve">The first command → the pipeline committing the object. Includes a clarification dialogue ('which one?') or the pointing, and handing the object's name to the pipeline.</t>
        </r>
      </text>
    </comment>
    <comment ref="K2" authorId="0">
      <text>
        <r>
          <rPr>
            <sz val="11"/>
            <color rgb="FF000000"/>
            <rFont val="Calibri"/>
            <family val="2"/>
            <charset val="1"/>
          </rPr>
          <t xml:space="preserve">The committed choice → grasp candidates published (capture, segmentation, the stored-grasp lookup, or GraspGen when nothing was stored).</t>
        </r>
      </text>
    </comment>
    <comment ref="L2" authorId="0">
      <text>
        <r>
          <rPr>
            <sz val="11"/>
            <color rgb="FF000000"/>
            <rFont val="Calibri"/>
            <family val="2"/>
            <charset val="1"/>
          </rPr>
          <t xml:space="preserve">yes = GraspGen had already computed this object's grasps before the command (precompute); no = it ran after the command, and the operator waited for it.</t>
        </r>
      </text>
    </comment>
    <comment ref="M2" authorId="0">
      <text>
        <r>
          <rPr>
            <sz val="11"/>
            <color rgb="FF000000"/>
            <rFont val="Calibri"/>
            <family val="2"/>
            <charset val="1"/>
          </rPr>
          <t xml:space="preserve">Duration of the GraspGen run whose grasps the robot executed.</t>
        </r>
      </text>
    </comment>
    <comment ref="N2" authorId="0">
      <text>
        <r>
          <rPr>
            <sz val="11"/>
            <color rgb="FF000000"/>
            <rFont val="Calibri"/>
            <family val="2"/>
            <charset val="1"/>
          </rPr>
          <t xml:space="preserve">How much of that run the operator actually waited for (0 = ready before).</t>
        </r>
      </text>
    </comment>
    <comment ref="O2" authorId="0">
      <text>
        <r>
          <rPr>
            <sz val="11"/>
            <color rgb="FF000000"/>
            <rFont val="Calibri"/>
            <family val="2"/>
            <charset val="1"/>
          </rPr>
          <t xml:space="preserve">How long before the choice the grasps were ready.</t>
        </r>
      </text>
    </comment>
    <comment ref="P2" authorId="0">
      <text>
        <r>
          <rPr>
            <sz val="11"/>
            <color rgb="FF000000"/>
            <rFont val="Calibri"/>
            <family val="2"/>
            <charset val="1"/>
          </rPr>
          <t xml:space="preserve">How the approach was planned: curve = the smooth approach path (bend + straight slide); lines = blended straight-line segments, the fallback.</t>
        </r>
      </text>
    </comment>
    <comment ref="Q2" authorId="0">
      <text>
        <r>
          <rPr>
            <sz val="11"/>
            <color rgb="FF000000"/>
            <rFont val="Calibri"/>
            <family val="2"/>
            <charset val="1"/>
          </rPr>
          <t xml:space="preserve">yes = the executor had already verified this grasp could be reached (precheck hit), so it moved at once; no = it checked after the candidates arrived (precheck miss) and the operator waited for it.</t>
        </r>
      </text>
    </comment>
    <comment ref="R2" authorId="0">
      <text>
        <r>
          <rPr>
            <sz val="11"/>
            <color rgb="FF000000"/>
            <rFont val="Calibri"/>
            <family val="2"/>
            <charset val="1"/>
          </rPr>
          <t xml:space="preserve">Time to verify the plan: the background probe (when checked in the background) or the probe after the candidates arrived.</t>
        </r>
      </text>
    </commen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What the operator actually waited in the executor, from the candidates to moving.</t>
        </r>
      </text>
    </comment>
    <comment ref="T2" authorId="0">
      <text>
        <r>
          <rPr>
            <sz val="11"/>
            <color rgb="FF000000"/>
            <rFont val="Calibri"/>
            <family val="2"/>
            <charset val="1"/>
          </rPr>
          <t xml:space="preserve">Which of the GraspGen candidates was executed ('1 of 26' = the best-ranked one).</t>
        </r>
      </text>
    </comment>
    <comment ref="U2" authorId="0">
      <text>
        <r>
          <rPr>
            <sz val="11"/>
            <color rgb="FF000000"/>
            <rFont val="Calibri"/>
            <family val="2"/>
            <charset val="1"/>
          </rPr>
          <t xml:space="preserve">How many candidates the executor probed before executing one.</t>
        </r>
      </text>
    </comment>
    <comment ref="AA2" authorId="0">
      <text>
        <r>
          <rPr>
            <sz val="11"/>
            <color rgb="FF000000"/>
            <rFont val="Calibri"/>
            <family val="2"/>
            <charset val="1"/>
          </rPr>
          <t xml:space="preserve">The command given → the gripper opened at the destination.</t>
        </r>
      </text>
    </comment>
    <comment ref="AB2" authorId="0">
      <text>
        <r>
          <rPr>
            <sz val="11"/>
            <color rgb="FF000000"/>
            <rFont val="Calibri"/>
            <family val="2"/>
            <charset val="1"/>
          </rPr>
          <t xml:space="preserve">Time Morty waited for the operator: at 'Where should I drop it?', 'Should I open the gripper?' and 'Should I go back home?'.</t>
        </r>
      </text>
    </comment>
    <comment ref="AC2" authorId="0">
      <text>
        <r>
          <rPr>
            <sz val="11"/>
            <color rgb="FF000000"/>
            <rFont val="Calibri"/>
            <family val="2"/>
            <charset val="1"/>
          </rPr>
          <t xml:space="preserve">Total time minus the time Morty waited for the operator.</t>
        </r>
      </text>
    </comment>
    <comment ref="AH2" authorId="0">
      <text>
        <r>
          <rPr>
            <sz val="11"/>
            <color rgb="FF000000"/>
            <rFont val="Calibri"/>
            <family val="2"/>
            <charset val="1"/>
          </rPr>
          <t xml:space="preserve">final = rebuilt from exact event times after the trial (the messages' own stamps, else the earliest recorder); preliminary = the window's own times at ⏹ (can be late under load).</t>
        </r>
      </text>
    </comment>
  </commentList>
</comments>
</file>

<file path=xl/sharedStrings.xml><?xml version="1.0" encoding="utf-8"?>
<sst xmlns="http://schemas.openxmlformats.org/spreadsheetml/2006/main" count="920" uniqueCount="276">
  <si>
    <t xml:space="preserve">Trial ID</t>
  </si>
  <si>
    <t xml:space="preserve">Date</t>
  </si>
  <si>
    <t xml:space="preserve">Task ID</t>
  </si>
  <si>
    <t xml:space="preserve">Scene Layout</t>
  </si>
  <si>
    <t xml:space="preserve">Scenario ID</t>
  </si>
  <si>
    <t xml:space="preserve">Scenario</t>
  </si>
  <si>
    <t xml:space="preserve">Level</t>
  </si>
  <si>
    <t xml:space="preserve">Modifiers</t>
  </si>
  <si>
    <t xml:space="preserve">Command Used</t>
  </si>
  <si>
    <t xml:space="preserve">Intended Target</t>
  </si>
  <si>
    <t xml:space="preserve">Intended Destination</t>
  </si>
  <si>
    <t xml:space="preserve">User Intent understood correctly?</t>
  </si>
  <si>
    <t xml:space="preserve">Object Detected?</t>
  </si>
  <si>
    <t xml:space="preserve">Correct Object Selected?</t>
  </si>
  <si>
    <t xml:space="preserve">Grasp Success?</t>
  </si>
  <si>
    <t xml:space="preserve">Action Executed Correctly?</t>
  </si>
  <si>
    <t xml:space="preserve">Full Task Success?</t>
  </si>
  <si>
    <t xml:space="preserve">Interaction Time (s)</t>
  </si>
  <si>
    <t xml:space="preserve">Total Time (s)</t>
  </si>
  <si>
    <t xml:space="preserve">Failure Category / Notes</t>
  </si>
  <si>
    <t xml:space="preserve">Started by</t>
  </si>
  <si>
    <t xml:space="preserve">Understood by</t>
  </si>
  <si>
    <t xml:space="preserve">GraspGen in background?</t>
  </si>
  <si>
    <t xml:space="preserve">Execution plan</t>
  </si>
  <si>
    <t xml:space="preserve">Plan checked in background?</t>
  </si>
  <si>
    <t xml:space="preserve">Grasp executed</t>
  </si>
  <si>
    <t xml:space="preserve">Command → object handed over (s)</t>
  </si>
  <si>
    <t xml:space="preserve">Waiting for your answers (s)</t>
  </si>
  <si>
    <t xml:space="preserve">Robot time (s)</t>
  </si>
  <si>
    <t xml:space="preserve">Times</t>
  </si>
  <si>
    <t xml:space="preserve">VLA task</t>
  </si>
  <si>
    <t xml:space="preserve">VLA outcome</t>
  </si>
  <si>
    <t xml:space="preserve">Folder</t>
  </si>
  <si>
    <t xml:space="preserve">Viewer</t>
  </si>
  <si>
    <t xml:space="preserve">Video</t>
  </si>
  <si>
    <t xml:space="preserve">086</t>
  </si>
  <si>
    <t xml:space="preserve">2026-09-28</t>
  </si>
  <si>
    <t xml:space="preserve">Layout A</t>
  </si>
  <si>
    <t xml:space="preserve">S1</t>
  </si>
  <si>
    <t xml:space="preserve">S1: Available objects — no physical action</t>
  </si>
  <si>
    <t xml:space="preserve">L1 single-step, explicit</t>
  </si>
  <si>
    <t xml:space="preserve">What do you see on the table?</t>
  </si>
  <si>
    <t xml:space="preserve">voice</t>
  </si>
  <si>
    <t xml:space="preserve">final</t>
  </si>
  <si>
    <t xml:space="preserve">trial_086_LA_S1</t>
  </si>
  <si>
    <t xml:space="preserve">video</t>
  </si>
  <si>
    <t xml:space="preserve">087</t>
  </si>
  <si>
    <t xml:space="preserve">S2</t>
  </si>
  <si>
    <t xml:space="preserve">S2: Object NOT in scene ('give me the book')</t>
  </si>
  <si>
    <t xml:space="preserve">Give me the book, Morty.</t>
  </si>
  <si>
    <t xml:space="preserve">tape_dispenser</t>
  </si>
  <si>
    <t xml:space="preserve">—</t>
  </si>
  <si>
    <t xml:space="preserve">trial_087_LA_S2</t>
  </si>
  <si>
    <t xml:space="preserve">088</t>
  </si>
  <si>
    <t xml:space="preserve">S3</t>
  </si>
  <si>
    <t xml:space="preserve">S3: One of a kind among others — ask for it</t>
  </si>
  <si>
    <t xml:space="preserve">Grasp for me the tape dispenser.</t>
  </si>
  <si>
    <t xml:space="preserve">drop_right</t>
  </si>
  <si>
    <t xml:space="preserve">yes</t>
  </si>
  <si>
    <t xml:space="preserve">instant rule</t>
  </si>
  <si>
    <t xml:space="preserve">curve</t>
  </si>
  <si>
    <t xml:space="preserve">1 of 26</t>
  </si>
  <si>
    <t xml:space="preserve">pick up the tape dispenser</t>
  </si>
  <si>
    <t xml:space="preserve">success</t>
  </si>
  <si>
    <t xml:space="preserve">trial_088_LA_S3</t>
  </si>
  <si>
    <t xml:space="preserve">viewer</t>
  </si>
  <si>
    <t xml:space="preserve">089</t>
  </si>
  <si>
    <t xml:space="preserve">S4</t>
  </si>
  <si>
    <t xml:space="preserve">S4: Two same kind — clarify by words (left/right/colour)</t>
  </si>
  <si>
    <t xml:space="preserve">Grasp for me the vitamin tube.</t>
  </si>
  <si>
    <t xml:space="preserve">vitamin_c</t>
  </si>
  <si>
    <t xml:space="preserve">drop_left</t>
  </si>
  <si>
    <t xml:space="preserve">1 of 11</t>
  </si>
  <si>
    <t xml:space="preserve">pick up the leftmost vitamin tube</t>
  </si>
  <si>
    <t xml:space="preserve">trial_089_LA_S4</t>
  </si>
  <si>
    <t xml:space="preserve">090</t>
  </si>
  <si>
    <t xml:space="preserve">S5</t>
  </si>
  <si>
    <t xml:space="preserve">S5: Two same kind — clarify by pointing</t>
  </si>
  <si>
    <t xml:space="preserve">vitamin_B12</t>
  </si>
  <si>
    <t xml:space="preserve">3 of 24</t>
  </si>
  <si>
    <t xml:space="preserve">pick up the vitamin tube</t>
  </si>
  <si>
    <t xml:space="preserve">trial_090_LA_S5</t>
  </si>
  <si>
    <t xml:space="preserve">091</t>
  </si>
  <si>
    <t xml:space="preserve">M1</t>
  </si>
  <si>
    <t xml:space="preserve">Drop it on the right side.</t>
  </si>
  <si>
    <t xml:space="preserve">pointing/click</t>
  </si>
  <si>
    <t xml:space="preserve">1 of 25</t>
  </si>
  <si>
    <t xml:space="preserve">trial_091_LA_S5</t>
  </si>
  <si>
    <t xml:space="preserve">092</t>
  </si>
  <si>
    <t xml:space="preserve">Morty, could you please tell me which objects you can pick up right now?</t>
  </si>
  <si>
    <t xml:space="preserve">trial_092_LA_S1</t>
  </si>
  <si>
    <t xml:space="preserve">093</t>
  </si>
  <si>
    <t xml:space="preserve">Could you please bring me my phone?</t>
  </si>
  <si>
    <t xml:space="preserve">phone</t>
  </si>
  <si>
    <t xml:space="preserve">trial_093_LA_S2</t>
  </si>
  <si>
    <t xml:space="preserve">094</t>
  </si>
  <si>
    <t xml:space="preserve">Could you slowly bring me the small bottle, please?</t>
  </si>
  <si>
    <t xml:space="preserve">small_bottle</t>
  </si>
  <si>
    <t xml:space="preserve">language model</t>
  </si>
  <si>
    <t xml:space="preserve">no</t>
  </si>
  <si>
    <t xml:space="preserve">1 of 20</t>
  </si>
  <si>
    <t xml:space="preserve">pick up the small bottle</t>
  </si>
  <si>
    <t xml:space="preserve">trial_094_LA_S3</t>
  </si>
  <si>
    <t xml:space="preserve">Interaction</t>
  </si>
  <si>
    <t xml:space="preserve">Voice</t>
  </si>
  <si>
    <t xml:space="preserve">Choice</t>
  </si>
  <si>
    <t xml:space="preserve">Perception</t>
  </si>
  <si>
    <t xml:space="preserve">GraspGen</t>
  </si>
  <si>
    <t xml:space="preserve">Motion</t>
  </si>
  <si>
    <t xml:space="preserve">Totals</t>
  </si>
  <si>
    <t xml:space="preserve">Dialogue</t>
  </si>
  <si>
    <t xml:space="preserve">Interaction Time: command given → arm starts moving (s)</t>
  </si>
  <si>
    <t xml:space="preserve">End of your voice → transcript (s)</t>
  </si>
  <si>
    <t xml:space="preserve">You stopped speaking → command (s)</t>
  </si>
  <si>
    <t xml:space="preserve">Understanding: transcript → command (s)</t>
  </si>
  <si>
    <t xml:space="preserve">Command → object chosen, incl. clarification (s)</t>
  </si>
  <si>
    <t xml:space="preserve">Object chosen → grasp candidates (s)</t>
  </si>
  <si>
    <t xml:space="preserve">GraspGen compute (s)</t>
  </si>
  <si>
    <t xml:space="preserve">GraspGen waited for after the choice (s)</t>
  </si>
  <si>
    <t xml:space="preserve">GraspGen ready before the choice (s)</t>
  </si>
  <si>
    <t xml:space="preserve">Plan compute (s)</t>
  </si>
  <si>
    <t xml:space="preserve">Candidates → motion start (s)</t>
  </si>
  <si>
    <t xml:space="preserve">Grasps checked</t>
  </si>
  <si>
    <t xml:space="preserve">Approach (s)</t>
  </si>
  <si>
    <t xml:space="preserve">Arrival → grasp verdict (s)</t>
  </si>
  <si>
    <t xml:space="preserve">Waiting for the drop side (s)</t>
  </si>
  <si>
    <t xml:space="preserve">Transport to the drop (s)</t>
  </si>
  <si>
    <t xml:space="preserve">Motion start → home (s)</t>
  </si>
  <si>
    <t xml:space="preserve">Total (s)</t>
  </si>
  <si>
    <t xml:space="preserve">Morty's questions</t>
  </si>
  <si>
    <t xml:space="preserve">Your sentences</t>
  </si>
  <si>
    <t xml:space="preserve">Path</t>
  </si>
  <si>
    <t xml:space="preserve">Window was late by, max (s)</t>
  </si>
  <si>
    <t xml:space="preserve">precomputed</t>
  </si>
  <si>
    <t xml:space="preserve">t in trial (s)</t>
  </si>
  <si>
    <t xml:space="preserve">Who</t>
  </si>
  <si>
    <t xml:space="preserve">Text</t>
  </si>
  <si>
    <t xml:space="preserve">You</t>
  </si>
  <si>
    <t xml:space="preserve">Morty</t>
  </si>
  <si>
    <t xml:space="preserve">I see a Vitamin C, a tape dispenser, a small bottle, and a Vitamin B12.</t>
  </si>
  <si>
    <t xml:space="preserve">I don't see a book on the table.</t>
  </si>
  <si>
    <t xml:space="preserve">Would you like me to pick one of those instead?</t>
  </si>
  <si>
    <t xml:space="preserve">Robot command</t>
  </si>
  <si>
    <t xml:space="preserve">pick tape dispenser</t>
  </si>
  <si>
    <t xml:space="preserve">Starting grasp on the tape dispenser.</t>
  </si>
  <si>
    <t xml:space="preserve">Got the tape dispenser. Where should I drop it? Left, right, or home?</t>
  </si>
  <si>
    <t xml:space="preserve">Going to drop right.</t>
  </si>
  <si>
    <t xml:space="preserve">I'm at the drop right position, still holding the tape dispenser. Should I open the gripper?</t>
  </si>
  <si>
    <t xml:space="preserve">Yes, open the gripper.</t>
  </si>
  <si>
    <t xml:space="preserve">open_gripper</t>
  </si>
  <si>
    <t xml:space="preserve">Opening the gripper.</t>
  </si>
  <si>
    <t xml:space="preserve">Should I go back home?</t>
  </si>
  <si>
    <t xml:space="preserve">Yes, go back home.</t>
  </si>
  <si>
    <t xml:space="preserve">go_home</t>
  </si>
  <si>
    <t xml:space="preserve">Going home.</t>
  </si>
  <si>
    <t xml:space="preserve">Done — I'm back at the home position. What's next?</t>
  </si>
  <si>
    <t xml:space="preserve">pick vitamin tube</t>
  </si>
  <si>
    <t xml:space="preserve">I see two vitamin tubes. Could you say leftmost or rightmost, or point at the one you want?</t>
  </si>
  <si>
    <t xml:space="preserve">Leftmost vitamin tube.</t>
  </si>
  <si>
    <t xml:space="preserve">pick vitamin tube position=leftmost</t>
  </si>
  <si>
    <t xml:space="preserve">Picking the leftmost Vitamin C.</t>
  </si>
  <si>
    <t xml:space="preserve">Starting grasp on the vitamin tube.</t>
  </si>
  <si>
    <t xml:space="preserve">Got the vitamin tube. Where should I drop it? Left, right, or home?</t>
  </si>
  <si>
    <t xml:space="preserve">Drop it on the left side.</t>
  </si>
  <si>
    <t xml:space="preserve">Going to drop left.</t>
  </si>
  <si>
    <t xml:space="preserve">I'm at the drop left position, still holding the vitamin tube. Should I open the gripper?</t>
  </si>
  <si>
    <t xml:space="preserve">Yes, open the gripper, give me the object.</t>
  </si>
  <si>
    <t xml:space="preserve">I'm at the drop right position, still holding the vitamin tube. Should I open the gripper?</t>
  </si>
  <si>
    <t xml:space="preserve">Yes, opens the gripper.</t>
  </si>
  <si>
    <t xml:space="preserve">Go back home.</t>
  </si>
  <si>
    <t xml:space="preserve">Open the gripper, give me the objects and go back home.</t>
  </si>
  <si>
    <t xml:space="preserve">open_gripper then=release_home</t>
  </si>
  <si>
    <t xml:space="preserve">I can see a tape dispenser on the left, a small bottle in the middle, and a Vitamin B12 on the right.</t>
  </si>
  <si>
    <t xml:space="preserve">I don't see a phone on the table — only a tape dispenser, a small bottle, and a Vitamin B12.</t>
  </si>
  <si>
    <t xml:space="preserve">I can pick any of those if you'd like!</t>
  </si>
  <si>
    <t xml:space="preserve">pick small bottle</t>
  </si>
  <si>
    <t xml:space="preserve">Starting grasp on the small bottle.</t>
  </si>
  <si>
    <t xml:space="preserve">Got the small bottle. Where should I drop it? Left, right, or home?</t>
  </si>
  <si>
    <t xml:space="preserve">Drop it home.</t>
  </si>
  <si>
    <t xml:space="preserve">Go home.</t>
  </si>
  <si>
    <t xml:space="preserve">I'm at the home position, still holding the small bottle. Should I open the gripper?</t>
  </si>
  <si>
    <t xml:space="preserve">Open the gripper.</t>
  </si>
  <si>
    <t xml:space="preserve">I'm at the home position. What's next?</t>
  </si>
  <si>
    <t xml:space="preserve">#</t>
  </si>
  <si>
    <t xml:space="preserve">Starts at t (s)</t>
  </si>
  <si>
    <t xml:space="preserve">Instruction</t>
  </si>
  <si>
    <t xml:space="preserve">Said / from</t>
  </si>
  <si>
    <t xml:space="preserve">Action</t>
  </si>
  <si>
    <t xml:space="preserve">Steps</t>
  </si>
  <si>
    <t xml:space="preserve">Superseded</t>
  </si>
  <si>
    <t xml:space="preserve">pick</t>
  </si>
  <si>
    <t xml:space="preserve">41–204</t>
  </si>
  <si>
    <t xml:space="preserve">drop it on the right side</t>
  </si>
  <si>
    <t xml:space="preserve">205–345</t>
  </si>
  <si>
    <t xml:space="preserve">open the gripper</t>
  </si>
  <si>
    <t xml:space="preserve">346–435</t>
  </si>
  <si>
    <t xml:space="preserve">go back home</t>
  </si>
  <si>
    <t xml:space="preserve">436–496</t>
  </si>
  <si>
    <t xml:space="preserve">211–345</t>
  </si>
  <si>
    <t xml:space="preserve">drop it on the left side</t>
  </si>
  <si>
    <t xml:space="preserve">346–467</t>
  </si>
  <si>
    <t xml:space="preserve">468–563</t>
  </si>
  <si>
    <t xml:space="preserve">564–611</t>
  </si>
  <si>
    <t xml:space="preserve">36–257</t>
  </si>
  <si>
    <t xml:space="preserve">258–395</t>
  </si>
  <si>
    <t xml:space="preserve">396–475</t>
  </si>
  <si>
    <t xml:space="preserve">476–536</t>
  </si>
  <si>
    <t xml:space="preserve">(pointing)</t>
  </si>
  <si>
    <t xml:space="preserve">0–276</t>
  </si>
  <si>
    <t xml:space="preserve">277–438</t>
  </si>
  <si>
    <t xml:space="preserve">439–525</t>
  </si>
  <si>
    <t xml:space="preserve">78–320</t>
  </si>
  <si>
    <t xml:space="preserve">321–335</t>
  </si>
  <si>
    <t xml:space="preserve">336–477</t>
  </si>
  <si>
    <t xml:space="preserve">478–523</t>
  </si>
  <si>
    <t xml:space="preserve">MMHRI experiments — summary per scenario</t>
  </si>
  <si>
    <t xml:space="preserve">Formulas over the Experiments sheet (9 trials). Success rate = Full Task Success yes / (yes + no); averages ignore empty cells.</t>
  </si>
  <si>
    <t xml:space="preserve">Trials</t>
  </si>
  <si>
    <t xml:space="preserve">Full task success: yes</t>
  </si>
  <si>
    <t xml:space="preserve">Full task success: no</t>
  </si>
  <si>
    <t xml:space="preserve">Success rate</t>
  </si>
  <si>
    <t xml:space="preserve">Grasp success: yes</t>
  </si>
  <si>
    <t xml:space="preserve">Avg Interaction Time (s)</t>
  </si>
  <si>
    <t xml:space="preserve">Avg total time (s)</t>
  </si>
  <si>
    <t xml:space="preserve">Avg robot time (s)</t>
  </si>
  <si>
    <t xml:space="preserve">Avg waiting for your answers (s)</t>
  </si>
  <si>
    <t xml:space="preserve">Available objects — no physical action</t>
  </si>
  <si>
    <t xml:space="preserve">Object NOT in scene ('give me the book')</t>
  </si>
  <si>
    <t xml:space="preserve">One of a kind among others — ask for it</t>
  </si>
  <si>
    <t xml:space="preserve">Two same kind — clarify by words (left/right/colour)</t>
  </si>
  <si>
    <t xml:space="preserve">Two same kind — clarify by pointing</t>
  </si>
  <si>
    <t xml:space="preserve">S6</t>
  </si>
  <si>
    <t xml:space="preserve">Pointing only (with confirmation)</t>
  </si>
  <si>
    <t xml:space="preserve">S7</t>
  </si>
  <si>
    <t xml:space="preserve">Moving without grasping</t>
  </si>
  <si>
    <t xml:space="preserve">All</t>
  </si>
  <si>
    <t xml:space="preserve">Trials per scenario and layout</t>
  </si>
  <si>
    <t xml:space="preserve">Column / item</t>
  </si>
  <si>
    <t xml:space="preserve">Meaning</t>
  </si>
  <si>
    <t xml:space="preserve">Where the data comes from</t>
  </si>
  <si>
    <t xml:space="preserve">Every sheet is rebuilt from the trial folders (trial.json, timeline.json, meta.json) each time the window sends. Edit a trial in the MMHRI window (or its trial.json), not in these sheets — your edits here would be replaced. Sheets you add yourself are kept.</t>
  </si>
  <si>
    <t xml:space="preserve">The experiment doc's definition: from the moment the command was GIVEN (you stopped saying it; for a pick started by pointing, the moment the object was chosen) until the arm STARTS MOVING. Includes speech recognition, understanding, any clarification ('which one?'), choosing the object and planning.</t>
  </si>
  <si>
    <t xml:space="preserve">From the first command (or the pointing choice) to the end of the robot's cycle (back home).</t>
  </si>
  <si>
    <t xml:space="preserve">voice = the task began with a spoken command; pointing/click = the object was chosen by pointing or a click before anything was said.</t>
  </si>
  <si>
    <t xml:space="preserve">The end-of-speech wait (0.5-0.8 s, to be sure you finished) plus speech recognition.</t>
  </si>
  <si>
    <t xml:space="preserve">The end of the operator's voice → the robot command for that sentence.</t>
  </si>
  <si>
    <t xml:space="preserve">The accepted transcript that caused the command → the command.</t>
  </si>
  <si>
    <t xml:space="preserve">instant rule = the fixed phrase layer (about 0.01 s); language model = Claude (about 1 s).</t>
  </si>
  <si>
    <t xml:space="preserve">The first command → the pipeline committing the object. Includes a clarification dialogue ('which one?') or the pointing, and handing the object's name to the pipeline.</t>
  </si>
  <si>
    <t xml:space="preserve">The committed choice → grasp candidates published (capture, segmentation, the stored-grasp lookup, or GraspGen when nothing was stored).</t>
  </si>
  <si>
    <t xml:space="preserve">yes = GraspGen had already computed this object's grasps before the command (precompute); no = it ran after the command, and the operator waited for it.</t>
  </si>
  <si>
    <t xml:space="preserve">Duration of the GraspGen run whose grasps the robot executed.</t>
  </si>
  <si>
    <t xml:space="preserve">How much of that run the operator actually waited for (0 = ready before).</t>
  </si>
  <si>
    <t xml:space="preserve">How long before the choice the grasps were ready.</t>
  </si>
  <si>
    <t xml:space="preserve">How the approach was planned: curve = the smooth approach path (bend + straight slide); lines = blended straight-line segments, the fallback.</t>
  </si>
  <si>
    <t xml:space="preserve">yes = the executor had already verified this grasp could be reached (precheck hit), so it moved at once; no = it checked after the candidates arrived (precheck miss) and the operator waited for it.</t>
  </si>
  <si>
    <t xml:space="preserve">Time to verify the plan: the background probe (when checked in the background) or the probe after the candidates arrived.</t>
  </si>
  <si>
    <t xml:space="preserve">What the operator actually waited in the executor, from the candidates to moving.</t>
  </si>
  <si>
    <t xml:space="preserve">Which of the GraspGen candidates was executed ('1 of 26' = the best-ranked one).</t>
  </si>
  <si>
    <t xml:space="preserve">How many candidates the executor probed before executing one.</t>
  </si>
  <si>
    <t xml:space="preserve">The command given → the gripper opened at the destination.</t>
  </si>
  <si>
    <t xml:space="preserve">Time Morty waited for the operator: at 'Where should I drop it?', 'Should I open the gripper?' and 'Should I go back home?'.</t>
  </si>
  <si>
    <t xml:space="preserve">Total time minus the time Morty waited for the operator.</t>
  </si>
  <si>
    <t xml:space="preserve">final = rebuilt from exact event times after the trial (the messages' own stamps, else the earliest recorder); preliminary = the window's own times at ⏹ (can be late under load).</t>
  </si>
  <si>
    <t xml:space="preserve">Summary: success rate</t>
  </si>
  <si>
    <t xml:space="preserve">Full Task Success = yes divided by (yes + no); trials without a verdict are not counted.</t>
  </si>
  <si>
    <t xml:space="preserve">trial folder</t>
  </si>
  <si>
    <t xml:space="preserve">/home/deep/morty_ws/experiments/experiments_28_09_2026/trial_086_LA_S1</t>
  </si>
  <si>
    <t xml:space="preserve">/home/deep/morty_ws/experiments/experiments_28_09_2026/trial_087_LA_S2</t>
  </si>
  <si>
    <t xml:space="preserve">/home/deep/morty_ws/experiments/experiments_28_09_2026/trial_088_LA_S3</t>
  </si>
  <si>
    <t xml:space="preserve">/home/deep/morty_ws/experiments/experiments_28_09_2026/trial_089_LA_S4</t>
  </si>
  <si>
    <t xml:space="preserve">/home/deep/morty_ws/experiments/experiments_28_09_2026/trial_090_LA_S5</t>
  </si>
  <si>
    <t xml:space="preserve">/home/deep/morty_ws/experiments/experiments_28_09_2026/trial_091_LA_S5</t>
  </si>
  <si>
    <t xml:space="preserve">/home/deep/morty_ws/experiments/experiments_28_09_2026/trial_092_LA_S1</t>
  </si>
  <si>
    <t xml:space="preserve">/home/deep/morty_ws/experiments/experiments_28_09_2026/trial_093_LA_S2</t>
  </si>
  <si>
    <t xml:space="preserve">/home/deep/morty_ws/experiments/experiments_28_09_2026/trial_094_LA_S3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</si>
</sst>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"/>
    <numFmt numFmtId="167" formatCode="0%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E2F0D9"/>
      </patternFill>
    </fill>
    <fill>
      <patternFill patternType="solid">
        <fgColor rgb="FFB8CCE4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DCE6F1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0563C1"/>
        </patternFill>
      </fill>
    </dxf>
    <dxf>
      <fill>
        <patternFill>
          <bgColor rgb="FFE2F0D9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DCE6F1"/>
      <rgbColor rgb="FF660066"/>
      <rgbColor rgb="FFFF8080"/>
      <rgbColor rgb="FF0563C1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../experiments_28_09_2026/trial_086_LA_S1" TargetMode="External"/><Relationship Id="rId3" Type="http://schemas.openxmlformats.org/officeDocument/2006/relationships/hyperlink" Target="../experiments_28_09_2026/trial_086_LA_S1/trial.mp4" TargetMode="External"/><Relationship Id="rId4" Type="http://schemas.openxmlformats.org/officeDocument/2006/relationships/hyperlink" Target="../experiments_28_09_2026/trial_087_LA_S2" TargetMode="External"/><Relationship Id="rId5" Type="http://schemas.openxmlformats.org/officeDocument/2006/relationships/hyperlink" Target="../experiments_28_09_2026/trial_087_LA_S2/trial.mp4" TargetMode="External"/><Relationship Id="rId6" Type="http://schemas.openxmlformats.org/officeDocument/2006/relationships/hyperlink" Target="../experiments_28_09_2026/trial_088_LA_S3" TargetMode="External"/><Relationship Id="rId7" Type="http://schemas.openxmlformats.org/officeDocument/2006/relationships/hyperlink" Target="../experiments_28_09_2026/trial_088_LA_S3/viewer.html" TargetMode="External"/><Relationship Id="rId8" Type="http://schemas.openxmlformats.org/officeDocument/2006/relationships/hyperlink" Target="../experiments_28_09_2026/trial_088_LA_S3/trial.mp4" TargetMode="External"/><Relationship Id="rId9" Type="http://schemas.openxmlformats.org/officeDocument/2006/relationships/hyperlink" Target="../experiments_28_09_2026/trial_089_LA_S4" TargetMode="External"/><Relationship Id="rId10" Type="http://schemas.openxmlformats.org/officeDocument/2006/relationships/hyperlink" Target="../experiments_28_09_2026/trial_089_LA_S4/viewer.html" TargetMode="External"/><Relationship Id="rId11" Type="http://schemas.openxmlformats.org/officeDocument/2006/relationships/hyperlink" Target="../experiments_28_09_2026/trial_089_LA_S4/trial.mp4" TargetMode="External"/><Relationship Id="rId12" Type="http://schemas.openxmlformats.org/officeDocument/2006/relationships/hyperlink" Target="../experiments_28_09_2026/trial_090_LA_S5" TargetMode="External"/><Relationship Id="rId13" Type="http://schemas.openxmlformats.org/officeDocument/2006/relationships/hyperlink" Target="../experiments_28_09_2026/trial_090_LA_S5/viewer.html" TargetMode="External"/><Relationship Id="rId14" Type="http://schemas.openxmlformats.org/officeDocument/2006/relationships/hyperlink" Target="../experiments_28_09_2026/trial_090_LA_S5/trial.mp4" TargetMode="External"/><Relationship Id="rId15" Type="http://schemas.openxmlformats.org/officeDocument/2006/relationships/hyperlink" Target="../experiments_28_09_2026/trial_091_LA_S5" TargetMode="External"/><Relationship Id="rId16" Type="http://schemas.openxmlformats.org/officeDocument/2006/relationships/hyperlink" Target="../experiments_28_09_2026/trial_091_LA_S5/viewer.html" TargetMode="External"/><Relationship Id="rId17" Type="http://schemas.openxmlformats.org/officeDocument/2006/relationships/hyperlink" Target="../experiments_28_09_2026/trial_091_LA_S5/trial.mp4" TargetMode="External"/><Relationship Id="rId18" Type="http://schemas.openxmlformats.org/officeDocument/2006/relationships/hyperlink" Target="../experiments_28_09_2026/trial_092_LA_S1" TargetMode="External"/><Relationship Id="rId19" Type="http://schemas.openxmlformats.org/officeDocument/2006/relationships/hyperlink" Target="../experiments_28_09_2026/trial_092_LA_S1/trial.mp4" TargetMode="External"/><Relationship Id="rId20" Type="http://schemas.openxmlformats.org/officeDocument/2006/relationships/hyperlink" Target="../experiments_28_09_2026/trial_093_LA_S2" TargetMode="External"/><Relationship Id="rId21" Type="http://schemas.openxmlformats.org/officeDocument/2006/relationships/hyperlink" Target="../experiments_28_09_2026/trial_093_LA_S2/trial.mp4" TargetMode="External"/><Relationship Id="rId22" Type="http://schemas.openxmlformats.org/officeDocument/2006/relationships/hyperlink" Target="../experiments_28_09_2026/trial_094_LA_S3" TargetMode="External"/><Relationship Id="rId23" Type="http://schemas.openxmlformats.org/officeDocument/2006/relationships/hyperlink" Target="../experiments_28_09_2026/trial_094_LA_S3/viewer.html" TargetMode="External"/><Relationship Id="rId24" Type="http://schemas.openxmlformats.org/officeDocument/2006/relationships/hyperlink" Target="../experiments_28_09_2026/trial_094_LA_S3/trial.mp4" TargetMode="External"/><Relationship Id="rId25" Type="http://schemas.openxmlformats.org/officeDocument/2006/relationships/drawing" Target="../drawings/drawing1.xml"/><Relationship Id="rId26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36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7" min="12" style="0" width="12"/>
    <col collapsed="false" customWidth="true" hidden="false" outlineLevel="0" max="18" min="18" style="0" width="11"/>
    <col collapsed="false" customWidth="true" hidden="false" outlineLevel="0" max="19" min="19" style="0" width="10"/>
    <col collapsed="false" customWidth="true" hidden="false" outlineLevel="0" max="20" min="20" style="0" width="30"/>
    <col collapsed="false" customWidth="true" hidden="false" outlineLevel="0" max="21" min="21" style="0" width="11"/>
    <col collapsed="false" customWidth="true" hidden="false" outlineLevel="0" max="22" min="22" style="0" width="13"/>
    <col collapsed="false" customWidth="true" hidden="false" outlineLevel="0" max="23" min="23" style="0" width="11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10"/>
    <col collapsed="false" customWidth="true" hidden="false" outlineLevel="0" max="27" min="27" style="0" width="12"/>
    <col collapsed="false" customWidth="true" hidden="false" outlineLevel="0" max="28" min="28" style="0" width="11"/>
    <col collapsed="false" customWidth="true" hidden="false" outlineLevel="0" max="30" min="29" style="0" width="10"/>
    <col collapsed="false" customWidth="true" hidden="false" outlineLevel="0" max="31" min="31" style="0" width="30"/>
    <col collapsed="false" customWidth="true" hidden="false" outlineLevel="0" max="32" min="32" style="0" width="10"/>
    <col collapsed="false" customWidth="true" hidden="false" outlineLevel="0" max="33" min="33" style="0" width="26"/>
    <col collapsed="false" customWidth="true" hidden="false" outlineLevel="0" max="35" min="34" style="0" width="10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 customFormat="false" ht="15" hidden="false" customHeight="false" outlineLevel="0" collapsed="false">
      <c r="A2" s="2" t="s">
        <v>35</v>
      </c>
      <c r="B2" s="3" t="s">
        <v>36</v>
      </c>
      <c r="C2" s="3"/>
      <c r="D2" s="3" t="s">
        <v>37</v>
      </c>
      <c r="E2" s="3" t="s">
        <v>38</v>
      </c>
      <c r="F2" s="3" t="s">
        <v>39</v>
      </c>
      <c r="G2" s="3" t="s">
        <v>40</v>
      </c>
      <c r="H2" s="3"/>
      <c r="I2" s="3" t="s">
        <v>41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 t="s">
        <v>42</v>
      </c>
      <c r="V2" s="3"/>
      <c r="W2" s="3"/>
      <c r="X2" s="3"/>
      <c r="Y2" s="3"/>
      <c r="Z2" s="3"/>
      <c r="AA2" s="3"/>
      <c r="AB2" s="3"/>
      <c r="AC2" s="3"/>
      <c r="AD2" s="3" t="s">
        <v>43</v>
      </c>
      <c r="AE2" s="3"/>
      <c r="AF2" s="3"/>
      <c r="AG2" s="4" t="s">
        <v>44</v>
      </c>
      <c r="AI2" s="4" t="s">
        <v>45</v>
      </c>
    </row>
    <row r="3" customFormat="false" ht="15" hidden="false" customHeight="false" outlineLevel="0" collapsed="false">
      <c r="A3" s="2" t="s">
        <v>46</v>
      </c>
      <c r="B3" s="3" t="s">
        <v>36</v>
      </c>
      <c r="C3" s="3"/>
      <c r="D3" s="3" t="s">
        <v>37</v>
      </c>
      <c r="E3" s="3" t="s">
        <v>47</v>
      </c>
      <c r="F3" s="3" t="s">
        <v>48</v>
      </c>
      <c r="G3" s="3" t="s">
        <v>40</v>
      </c>
      <c r="H3" s="3"/>
      <c r="I3" s="3" t="s">
        <v>49</v>
      </c>
      <c r="J3" s="3" t="s">
        <v>50</v>
      </c>
      <c r="K3" s="3" t="s">
        <v>51</v>
      </c>
      <c r="L3" s="3"/>
      <c r="M3" s="3"/>
      <c r="N3" s="3"/>
      <c r="O3" s="3"/>
      <c r="P3" s="3"/>
      <c r="Q3" s="3"/>
      <c r="R3" s="3"/>
      <c r="S3" s="3"/>
      <c r="T3" s="3"/>
      <c r="U3" s="3" t="s">
        <v>42</v>
      </c>
      <c r="V3" s="3"/>
      <c r="W3" s="3"/>
      <c r="X3" s="3"/>
      <c r="Y3" s="3"/>
      <c r="Z3" s="3"/>
      <c r="AA3" s="3"/>
      <c r="AB3" s="3"/>
      <c r="AC3" s="3"/>
      <c r="AD3" s="3" t="s">
        <v>43</v>
      </c>
      <c r="AE3" s="3"/>
      <c r="AF3" s="3"/>
      <c r="AG3" s="4" t="s">
        <v>52</v>
      </c>
      <c r="AI3" s="4" t="s">
        <v>45</v>
      </c>
    </row>
    <row r="4" customFormat="false" ht="15" hidden="false" customHeight="false" outlineLevel="0" collapsed="false">
      <c r="A4" s="2" t="s">
        <v>53</v>
      </c>
      <c r="B4" s="3" t="s">
        <v>36</v>
      </c>
      <c r="C4" s="3"/>
      <c r="D4" s="3" t="s">
        <v>37</v>
      </c>
      <c r="E4" s="3" t="s">
        <v>54</v>
      </c>
      <c r="F4" s="3" t="s">
        <v>55</v>
      </c>
      <c r="G4" s="3" t="s">
        <v>40</v>
      </c>
      <c r="H4" s="3"/>
      <c r="I4" s="3" t="s">
        <v>56</v>
      </c>
      <c r="J4" s="3" t="s">
        <v>50</v>
      </c>
      <c r="K4" s="3" t="s">
        <v>57</v>
      </c>
      <c r="L4" s="3" t="s">
        <v>58</v>
      </c>
      <c r="M4" s="3" t="s">
        <v>58</v>
      </c>
      <c r="N4" s="3" t="s">
        <v>58</v>
      </c>
      <c r="O4" s="3" t="s">
        <v>58</v>
      </c>
      <c r="P4" s="3" t="s">
        <v>58</v>
      </c>
      <c r="Q4" s="3" t="s">
        <v>58</v>
      </c>
      <c r="R4" s="5" t="n">
        <v>5.21</v>
      </c>
      <c r="S4" s="5" t="n">
        <v>45.08</v>
      </c>
      <c r="T4" s="3"/>
      <c r="U4" s="3" t="s">
        <v>42</v>
      </c>
      <c r="V4" s="3" t="s">
        <v>59</v>
      </c>
      <c r="W4" s="3" t="s">
        <v>58</v>
      </c>
      <c r="X4" s="3" t="s">
        <v>60</v>
      </c>
      <c r="Y4" s="3" t="s">
        <v>58</v>
      </c>
      <c r="Z4" s="3" t="s">
        <v>61</v>
      </c>
      <c r="AA4" s="5" t="n">
        <v>32.542</v>
      </c>
      <c r="AB4" s="5" t="n">
        <v>21.106</v>
      </c>
      <c r="AC4" s="5" t="n">
        <v>23.974</v>
      </c>
      <c r="AD4" s="3" t="s">
        <v>43</v>
      </c>
      <c r="AE4" s="3" t="s">
        <v>62</v>
      </c>
      <c r="AF4" s="3" t="s">
        <v>63</v>
      </c>
      <c r="AG4" s="4" t="s">
        <v>64</v>
      </c>
      <c r="AH4" s="4" t="s">
        <v>65</v>
      </c>
      <c r="AI4" s="4" t="s">
        <v>45</v>
      </c>
    </row>
    <row r="5" customFormat="false" ht="15" hidden="false" customHeight="false" outlineLevel="0" collapsed="false">
      <c r="A5" s="2" t="s">
        <v>66</v>
      </c>
      <c r="B5" s="3" t="s">
        <v>36</v>
      </c>
      <c r="C5" s="3"/>
      <c r="D5" s="3" t="s">
        <v>37</v>
      </c>
      <c r="E5" s="3" t="s">
        <v>67</v>
      </c>
      <c r="F5" s="3" t="s">
        <v>68</v>
      </c>
      <c r="G5" s="3" t="s">
        <v>40</v>
      </c>
      <c r="H5" s="3"/>
      <c r="I5" s="3" t="s">
        <v>69</v>
      </c>
      <c r="J5" s="3" t="s">
        <v>70</v>
      </c>
      <c r="K5" s="3" t="s">
        <v>71</v>
      </c>
      <c r="L5" s="3" t="s">
        <v>58</v>
      </c>
      <c r="M5" s="3" t="s">
        <v>58</v>
      </c>
      <c r="N5" s="3" t="s">
        <v>58</v>
      </c>
      <c r="O5" s="3" t="s">
        <v>58</v>
      </c>
      <c r="P5" s="3" t="s">
        <v>58</v>
      </c>
      <c r="Q5" s="3" t="s">
        <v>58</v>
      </c>
      <c r="R5" s="5" t="n">
        <v>11.901</v>
      </c>
      <c r="S5" s="5" t="n">
        <v>49.555</v>
      </c>
      <c r="T5" s="3"/>
      <c r="U5" s="3" t="s">
        <v>42</v>
      </c>
      <c r="V5" s="3" t="s">
        <v>59</v>
      </c>
      <c r="W5" s="3" t="s">
        <v>58</v>
      </c>
      <c r="X5" s="3" t="s">
        <v>60</v>
      </c>
      <c r="Y5" s="3" t="s">
        <v>58</v>
      </c>
      <c r="Z5" s="3" t="s">
        <v>72</v>
      </c>
      <c r="AA5" s="5" t="n">
        <v>37.421</v>
      </c>
      <c r="AB5" s="5" t="n">
        <v>22.598</v>
      </c>
      <c r="AC5" s="5" t="n">
        <v>26.957</v>
      </c>
      <c r="AD5" s="3" t="s">
        <v>43</v>
      </c>
      <c r="AE5" s="3" t="s">
        <v>73</v>
      </c>
      <c r="AF5" s="3" t="s">
        <v>63</v>
      </c>
      <c r="AG5" s="4" t="s">
        <v>74</v>
      </c>
      <c r="AH5" s="4" t="s">
        <v>65</v>
      </c>
      <c r="AI5" s="4" t="s">
        <v>45</v>
      </c>
    </row>
    <row r="6" customFormat="false" ht="15" hidden="false" customHeight="false" outlineLevel="0" collapsed="false">
      <c r="A6" s="2" t="s">
        <v>75</v>
      </c>
      <c r="B6" s="3" t="s">
        <v>36</v>
      </c>
      <c r="C6" s="3"/>
      <c r="D6" s="3" t="s">
        <v>37</v>
      </c>
      <c r="E6" s="3" t="s">
        <v>76</v>
      </c>
      <c r="F6" s="3" t="s">
        <v>77</v>
      </c>
      <c r="G6" s="3" t="s">
        <v>40</v>
      </c>
      <c r="H6" s="3"/>
      <c r="I6" s="3" t="s">
        <v>69</v>
      </c>
      <c r="J6" s="3" t="s">
        <v>78</v>
      </c>
      <c r="K6" s="3" t="s">
        <v>57</v>
      </c>
      <c r="L6" s="3" t="s">
        <v>58</v>
      </c>
      <c r="M6" s="3" t="s">
        <v>58</v>
      </c>
      <c r="N6" s="3" t="s">
        <v>58</v>
      </c>
      <c r="O6" s="3" t="s">
        <v>58</v>
      </c>
      <c r="P6" s="3" t="s">
        <v>58</v>
      </c>
      <c r="Q6" s="3" t="s">
        <v>58</v>
      </c>
      <c r="R6" s="5" t="n">
        <v>10.304</v>
      </c>
      <c r="S6" s="5" t="n">
        <v>49.439</v>
      </c>
      <c r="T6" s="3"/>
      <c r="U6" s="3" t="s">
        <v>42</v>
      </c>
      <c r="V6" s="3" t="s">
        <v>59</v>
      </c>
      <c r="W6" s="3" t="s">
        <v>58</v>
      </c>
      <c r="X6" s="3" t="s">
        <v>60</v>
      </c>
      <c r="Y6" s="3" t="s">
        <v>58</v>
      </c>
      <c r="Z6" s="3" t="s">
        <v>79</v>
      </c>
      <c r="AA6" s="5" t="n">
        <v>37.947</v>
      </c>
      <c r="AB6" s="5" t="n">
        <v>19.917</v>
      </c>
      <c r="AC6" s="5" t="n">
        <v>29.522</v>
      </c>
      <c r="AD6" s="3" t="s">
        <v>43</v>
      </c>
      <c r="AE6" s="3" t="s">
        <v>80</v>
      </c>
      <c r="AF6" s="3" t="s">
        <v>63</v>
      </c>
      <c r="AG6" s="4" t="s">
        <v>81</v>
      </c>
      <c r="AH6" s="4" t="s">
        <v>65</v>
      </c>
      <c r="AI6" s="4" t="s">
        <v>45</v>
      </c>
    </row>
    <row r="7" customFormat="false" ht="15" hidden="false" customHeight="false" outlineLevel="0" collapsed="false">
      <c r="A7" s="2" t="s">
        <v>82</v>
      </c>
      <c r="B7" s="3" t="s">
        <v>36</v>
      </c>
      <c r="C7" s="3"/>
      <c r="D7" s="3" t="s">
        <v>37</v>
      </c>
      <c r="E7" s="3" t="s">
        <v>76</v>
      </c>
      <c r="F7" s="3" t="s">
        <v>77</v>
      </c>
      <c r="G7" s="3" t="s">
        <v>40</v>
      </c>
      <c r="H7" s="3" t="s">
        <v>83</v>
      </c>
      <c r="I7" s="3" t="s">
        <v>84</v>
      </c>
      <c r="J7" s="3" t="s">
        <v>50</v>
      </c>
      <c r="K7" s="3" t="s">
        <v>57</v>
      </c>
      <c r="L7" s="3" t="s">
        <v>58</v>
      </c>
      <c r="M7" s="3" t="s">
        <v>58</v>
      </c>
      <c r="N7" s="3" t="s">
        <v>58</v>
      </c>
      <c r="O7" s="3" t="s">
        <v>58</v>
      </c>
      <c r="P7" s="3" t="s">
        <v>58</v>
      </c>
      <c r="Q7" s="3" t="s">
        <v>58</v>
      </c>
      <c r="R7" s="5" t="n">
        <v>0.511</v>
      </c>
      <c r="S7" s="5" t="n">
        <v>47.072</v>
      </c>
      <c r="T7" s="3"/>
      <c r="U7" s="3" t="s">
        <v>85</v>
      </c>
      <c r="V7" s="3"/>
      <c r="W7" s="3" t="s">
        <v>58</v>
      </c>
      <c r="X7" s="3" t="s">
        <v>60</v>
      </c>
      <c r="Y7" s="3" t="s">
        <v>58</v>
      </c>
      <c r="Z7" s="3" t="s">
        <v>86</v>
      </c>
      <c r="AA7" s="5" t="n">
        <v>39.692</v>
      </c>
      <c r="AB7" s="5" t="n">
        <v>28.371</v>
      </c>
      <c r="AC7" s="5" t="n">
        <v>18.701</v>
      </c>
      <c r="AD7" s="3" t="s">
        <v>43</v>
      </c>
      <c r="AE7" s="3" t="s">
        <v>62</v>
      </c>
      <c r="AF7" s="3" t="s">
        <v>63</v>
      </c>
      <c r="AG7" s="4" t="s">
        <v>87</v>
      </c>
      <c r="AH7" s="4" t="s">
        <v>65</v>
      </c>
      <c r="AI7" s="4" t="s">
        <v>45</v>
      </c>
    </row>
    <row r="8" customFormat="false" ht="15" hidden="false" customHeight="false" outlineLevel="0" collapsed="false">
      <c r="A8" s="2" t="s">
        <v>88</v>
      </c>
      <c r="B8" s="3" t="s">
        <v>36</v>
      </c>
      <c r="C8" s="3"/>
      <c r="D8" s="3" t="s">
        <v>37</v>
      </c>
      <c r="E8" s="3" t="s">
        <v>38</v>
      </c>
      <c r="F8" s="3" t="s">
        <v>39</v>
      </c>
      <c r="G8" s="3" t="s">
        <v>40</v>
      </c>
      <c r="H8" s="3"/>
      <c r="I8" s="3" t="s">
        <v>89</v>
      </c>
      <c r="J8" s="3" t="s">
        <v>51</v>
      </c>
      <c r="K8" s="3" t="s">
        <v>51</v>
      </c>
      <c r="L8" s="3"/>
      <c r="M8" s="3"/>
      <c r="N8" s="3"/>
      <c r="O8" s="3"/>
      <c r="P8" s="3"/>
      <c r="Q8" s="3"/>
      <c r="R8" s="3"/>
      <c r="S8" s="3"/>
      <c r="T8" s="3"/>
      <c r="U8" s="3" t="s">
        <v>42</v>
      </c>
      <c r="V8" s="3"/>
      <c r="W8" s="3"/>
      <c r="X8" s="3"/>
      <c r="Y8" s="3"/>
      <c r="Z8" s="3"/>
      <c r="AA8" s="3"/>
      <c r="AB8" s="3"/>
      <c r="AC8" s="3"/>
      <c r="AD8" s="3" t="s">
        <v>43</v>
      </c>
      <c r="AE8" s="3"/>
      <c r="AF8" s="3"/>
      <c r="AG8" s="4" t="s">
        <v>90</v>
      </c>
      <c r="AI8" s="4" t="s">
        <v>45</v>
      </c>
    </row>
    <row r="9" customFormat="false" ht="15" hidden="false" customHeight="false" outlineLevel="0" collapsed="false">
      <c r="A9" s="2" t="s">
        <v>91</v>
      </c>
      <c r="B9" s="3" t="s">
        <v>36</v>
      </c>
      <c r="C9" s="3"/>
      <c r="D9" s="3" t="s">
        <v>37</v>
      </c>
      <c r="E9" s="3" t="s">
        <v>47</v>
      </c>
      <c r="F9" s="3" t="s">
        <v>48</v>
      </c>
      <c r="G9" s="3" t="s">
        <v>40</v>
      </c>
      <c r="H9" s="3"/>
      <c r="I9" s="3" t="s">
        <v>92</v>
      </c>
      <c r="J9" s="3" t="s">
        <v>93</v>
      </c>
      <c r="K9" s="3" t="s">
        <v>51</v>
      </c>
      <c r="L9" s="3" t="s">
        <v>58</v>
      </c>
      <c r="M9" s="3" t="s">
        <v>58</v>
      </c>
      <c r="N9" s="3"/>
      <c r="O9" s="3"/>
      <c r="P9" s="3"/>
      <c r="Q9" s="3"/>
      <c r="R9" s="3"/>
      <c r="S9" s="3"/>
      <c r="T9" s="3"/>
      <c r="U9" s="3" t="s">
        <v>42</v>
      </c>
      <c r="V9" s="3"/>
      <c r="W9" s="3"/>
      <c r="X9" s="3"/>
      <c r="Y9" s="3"/>
      <c r="Z9" s="3"/>
      <c r="AA9" s="3"/>
      <c r="AB9" s="3"/>
      <c r="AC9" s="3"/>
      <c r="AD9" s="3" t="s">
        <v>43</v>
      </c>
      <c r="AE9" s="3"/>
      <c r="AF9" s="3"/>
      <c r="AG9" s="4" t="s">
        <v>94</v>
      </c>
      <c r="AI9" s="4" t="s">
        <v>45</v>
      </c>
    </row>
    <row r="10" customFormat="false" ht="15" hidden="false" customHeight="false" outlineLevel="0" collapsed="false">
      <c r="A10" s="2" t="s">
        <v>95</v>
      </c>
      <c r="B10" s="3" t="s">
        <v>36</v>
      </c>
      <c r="C10" s="3"/>
      <c r="D10" s="3" t="s">
        <v>37</v>
      </c>
      <c r="E10" s="3" t="s">
        <v>54</v>
      </c>
      <c r="F10" s="3" t="s">
        <v>55</v>
      </c>
      <c r="G10" s="3" t="s">
        <v>40</v>
      </c>
      <c r="H10" s="3"/>
      <c r="I10" s="3" t="s">
        <v>96</v>
      </c>
      <c r="J10" s="3" t="s">
        <v>97</v>
      </c>
      <c r="K10" s="3" t="s">
        <v>51</v>
      </c>
      <c r="L10" s="3"/>
      <c r="M10" s="3"/>
      <c r="N10" s="3"/>
      <c r="O10" s="3"/>
      <c r="P10" s="3"/>
      <c r="Q10" s="3"/>
      <c r="R10" s="5" t="n">
        <v>9.442</v>
      </c>
      <c r="S10" s="5" t="n">
        <v>45.488</v>
      </c>
      <c r="T10" s="3"/>
      <c r="U10" s="3" t="s">
        <v>42</v>
      </c>
      <c r="V10" s="3" t="s">
        <v>98</v>
      </c>
      <c r="W10" s="3" t="s">
        <v>58</v>
      </c>
      <c r="X10" s="3" t="s">
        <v>60</v>
      </c>
      <c r="Y10" s="3" t="s">
        <v>99</v>
      </c>
      <c r="Z10" s="3" t="s">
        <v>100</v>
      </c>
      <c r="AA10" s="5" t="n">
        <v>43.736</v>
      </c>
      <c r="AB10" s="5" t="n">
        <v>21.857</v>
      </c>
      <c r="AC10" s="5" t="n">
        <v>23.631</v>
      </c>
      <c r="AD10" s="3" t="s">
        <v>43</v>
      </c>
      <c r="AE10" s="3" t="s">
        <v>101</v>
      </c>
      <c r="AF10" s="3" t="s">
        <v>63</v>
      </c>
      <c r="AG10" s="4" t="s">
        <v>102</v>
      </c>
      <c r="AH10" s="4" t="s">
        <v>65</v>
      </c>
      <c r="AI10" s="4" t="s">
        <v>45</v>
      </c>
    </row>
  </sheetData>
  <autoFilter ref="A1:AI10"/>
  <conditionalFormatting sqref="L2:Q10">
    <cfRule type="cellIs" priority="2" operator="equal" aboveAverage="0" equalAverage="0" bottom="0" percent="0" rank="0" text="" dxfId="4">
      <formula>"yes"</formula>
    </cfRule>
    <cfRule type="cellIs" priority="3" operator="equal" aboveAverage="0" equalAverage="0" bottom="0" percent="0" rank="0" text="" dxfId="5">
      <formula>"no"</formula>
    </cfRule>
  </conditionalFormatting>
  <hyperlinks>
    <hyperlink ref="AG2" r:id="rId2" display="trial_086_LA_S1"/>
    <hyperlink ref="AI2" r:id="rId3" display="video"/>
    <hyperlink ref="AG3" r:id="rId4" display="trial_087_LA_S2"/>
    <hyperlink ref="AI3" r:id="rId5" display="video"/>
    <hyperlink ref="AG4" r:id="rId6" display="trial_088_LA_S3"/>
    <hyperlink ref="AH4" r:id="rId7" display="viewer"/>
    <hyperlink ref="AI4" r:id="rId8" display="video"/>
    <hyperlink ref="AG5" r:id="rId9" display="trial_089_LA_S4"/>
    <hyperlink ref="AH5" r:id="rId10" display="viewer"/>
    <hyperlink ref="AI5" r:id="rId11" display="video"/>
    <hyperlink ref="AG6" r:id="rId12" display="trial_090_LA_S5"/>
    <hyperlink ref="AH6" r:id="rId13" display="viewer"/>
    <hyperlink ref="AI6" r:id="rId14" display="video"/>
    <hyperlink ref="AG7" r:id="rId15" display="trial_091_LA_S5"/>
    <hyperlink ref="AH7" r:id="rId16" display="viewer"/>
    <hyperlink ref="AI7" r:id="rId17" display="video"/>
    <hyperlink ref="AG8" r:id="rId18" display="trial_092_LA_S1"/>
    <hyperlink ref="AI8" r:id="rId19" display="video"/>
    <hyperlink ref="AG9" r:id="rId20" display="trial_093_LA_S2"/>
    <hyperlink ref="AI9" r:id="rId21" display="video"/>
    <hyperlink ref="AG10" r:id="rId22" display="trial_094_LA_S3"/>
    <hyperlink ref="AH10" r:id="rId23" display="viewer"/>
    <hyperlink ref="AI10" r:id="rId24" display="vide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5"/>
  <legacyDrawing r:id="rId2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33" min="4" style="0" width="12"/>
    <col collapsed="false" customWidth="true" hidden="false" outlineLevel="0" max="34" min="34" style="0" width="10"/>
    <col collapsed="false" customWidth="true" hidden="false" outlineLevel="0" max="35" min="35" style="0" width="12"/>
  </cols>
  <sheetData>
    <row r="1" customFormat="false" ht="15" hidden="false" customHeight="false" outlineLevel="0" collapsed="false">
      <c r="E1" s="6" t="s">
        <v>103</v>
      </c>
      <c r="F1" s="6" t="s">
        <v>104</v>
      </c>
      <c r="G1" s="7"/>
      <c r="H1" s="7"/>
      <c r="I1" s="7"/>
      <c r="J1" s="6" t="s">
        <v>105</v>
      </c>
      <c r="K1" s="6" t="s">
        <v>106</v>
      </c>
      <c r="L1" s="6" t="s">
        <v>107</v>
      </c>
      <c r="M1" s="7"/>
      <c r="N1" s="7"/>
      <c r="O1" s="7"/>
      <c r="P1" s="6" t="s">
        <v>23</v>
      </c>
      <c r="Q1" s="7"/>
      <c r="R1" s="7"/>
      <c r="S1" s="7"/>
      <c r="T1" s="7"/>
      <c r="U1" s="7"/>
      <c r="V1" s="6" t="s">
        <v>108</v>
      </c>
      <c r="W1" s="7"/>
      <c r="X1" s="7"/>
      <c r="Y1" s="7"/>
      <c r="Z1" s="7"/>
      <c r="AA1" s="6" t="s">
        <v>109</v>
      </c>
      <c r="AB1" s="7"/>
      <c r="AC1" s="7"/>
      <c r="AD1" s="7"/>
      <c r="AE1" s="6" t="s">
        <v>110</v>
      </c>
      <c r="AF1" s="7"/>
    </row>
    <row r="2" customFormat="false" ht="42" hidden="false" customHeight="true" outlineLevel="0" collapsed="false">
      <c r="A2" s="1" t="s">
        <v>0</v>
      </c>
      <c r="B2" s="1" t="s">
        <v>1</v>
      </c>
      <c r="C2" s="1" t="s">
        <v>4</v>
      </c>
      <c r="D2" s="1" t="s">
        <v>20</v>
      </c>
      <c r="E2" s="1" t="s">
        <v>111</v>
      </c>
      <c r="F2" s="1" t="s">
        <v>112</v>
      </c>
      <c r="G2" s="1" t="s">
        <v>113</v>
      </c>
      <c r="H2" s="1" t="s">
        <v>114</v>
      </c>
      <c r="I2" s="1" t="s">
        <v>21</v>
      </c>
      <c r="J2" s="1" t="s">
        <v>115</v>
      </c>
      <c r="K2" s="1" t="s">
        <v>116</v>
      </c>
      <c r="L2" s="1" t="s">
        <v>22</v>
      </c>
      <c r="M2" s="1" t="s">
        <v>117</v>
      </c>
      <c r="N2" s="1" t="s">
        <v>118</v>
      </c>
      <c r="O2" s="1" t="s">
        <v>119</v>
      </c>
      <c r="P2" s="1" t="s">
        <v>23</v>
      </c>
      <c r="Q2" s="1" t="s">
        <v>24</v>
      </c>
      <c r="R2" s="1" t="s">
        <v>120</v>
      </c>
      <c r="S2" s="1" t="s">
        <v>121</v>
      </c>
      <c r="T2" s="1" t="s">
        <v>25</v>
      </c>
      <c r="U2" s="1" t="s">
        <v>122</v>
      </c>
      <c r="V2" s="1" t="s">
        <v>123</v>
      </c>
      <c r="W2" s="1" t="s">
        <v>124</v>
      </c>
      <c r="X2" s="1" t="s">
        <v>125</v>
      </c>
      <c r="Y2" s="1" t="s">
        <v>126</v>
      </c>
      <c r="Z2" s="1" t="s">
        <v>127</v>
      </c>
      <c r="AA2" s="1" t="s">
        <v>26</v>
      </c>
      <c r="AB2" s="1" t="s">
        <v>27</v>
      </c>
      <c r="AC2" s="1" t="s">
        <v>28</v>
      </c>
      <c r="AD2" s="1" t="s">
        <v>128</v>
      </c>
      <c r="AE2" s="1" t="s">
        <v>129</v>
      </c>
      <c r="AF2" s="1" t="s">
        <v>130</v>
      </c>
      <c r="AG2" s="1" t="s">
        <v>131</v>
      </c>
      <c r="AH2" s="1" t="s">
        <v>29</v>
      </c>
      <c r="AI2" s="1" t="s">
        <v>132</v>
      </c>
    </row>
    <row r="3" customFormat="false" ht="15" hidden="false" customHeight="false" outlineLevel="0" collapsed="false">
      <c r="A3" s="8" t="s">
        <v>35</v>
      </c>
      <c r="B3" s="8" t="s">
        <v>36</v>
      </c>
      <c r="C3" s="8" t="s">
        <v>38</v>
      </c>
      <c r="D3" s="8" t="s">
        <v>42</v>
      </c>
      <c r="E3" s="8"/>
      <c r="F3" s="9" t="n">
        <v>1.753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9" t="n">
        <v>0</v>
      </c>
      <c r="AF3" s="9" t="n">
        <v>1</v>
      </c>
      <c r="AG3" s="8"/>
      <c r="AH3" s="8" t="s">
        <v>43</v>
      </c>
      <c r="AI3" s="9" t="n">
        <v>0.234</v>
      </c>
    </row>
    <row r="4" customFormat="false" ht="15" hidden="false" customHeight="false" outlineLevel="0" collapsed="false">
      <c r="A4" s="8" t="s">
        <v>46</v>
      </c>
      <c r="B4" s="8" t="s">
        <v>36</v>
      </c>
      <c r="C4" s="8" t="s">
        <v>47</v>
      </c>
      <c r="D4" s="8" t="s">
        <v>42</v>
      </c>
      <c r="E4" s="8"/>
      <c r="F4" s="9" t="n">
        <v>1.278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9" t="n">
        <v>1</v>
      </c>
      <c r="AF4" s="9" t="n">
        <v>1</v>
      </c>
      <c r="AG4" s="8"/>
      <c r="AH4" s="8" t="s">
        <v>43</v>
      </c>
      <c r="AI4" s="9" t="n">
        <v>0.191</v>
      </c>
    </row>
    <row r="5" customFormat="false" ht="15" hidden="false" customHeight="false" outlineLevel="0" collapsed="false">
      <c r="A5" s="8" t="s">
        <v>53</v>
      </c>
      <c r="B5" s="8" t="s">
        <v>36</v>
      </c>
      <c r="C5" s="8" t="s">
        <v>54</v>
      </c>
      <c r="D5" s="8" t="s">
        <v>42</v>
      </c>
      <c r="E5" s="9" t="n">
        <v>5.21</v>
      </c>
      <c r="F5" s="9" t="n">
        <v>1.301</v>
      </c>
      <c r="G5" s="9" t="n">
        <v>1.312</v>
      </c>
      <c r="H5" s="9" t="n">
        <v>0.011</v>
      </c>
      <c r="I5" s="8" t="s">
        <v>59</v>
      </c>
      <c r="J5" s="9" t="n">
        <v>3.222</v>
      </c>
      <c r="K5" s="9" t="n">
        <v>0.46</v>
      </c>
      <c r="L5" s="8" t="s">
        <v>58</v>
      </c>
      <c r="M5" s="9" t="n">
        <v>2.143</v>
      </c>
      <c r="N5" s="9" t="n">
        <v>0</v>
      </c>
      <c r="O5" s="9" t="n">
        <v>17.257</v>
      </c>
      <c r="P5" s="8" t="s">
        <v>60</v>
      </c>
      <c r="Q5" s="8" t="s">
        <v>58</v>
      </c>
      <c r="R5" s="9" t="n">
        <v>0.751</v>
      </c>
      <c r="S5" s="9" t="n">
        <v>0.209</v>
      </c>
      <c r="T5" s="8" t="s">
        <v>61</v>
      </c>
      <c r="U5" s="9" t="n">
        <v>1</v>
      </c>
      <c r="V5" s="9" t="n">
        <v>2.602</v>
      </c>
      <c r="W5" s="9" t="n">
        <v>1.03</v>
      </c>
      <c r="X5" s="9" t="n">
        <v>6.981</v>
      </c>
      <c r="Y5" s="8"/>
      <c r="Z5" s="9" t="n">
        <v>41.171</v>
      </c>
      <c r="AA5" s="9" t="n">
        <v>32.542</v>
      </c>
      <c r="AB5" s="9" t="n">
        <v>21.106</v>
      </c>
      <c r="AC5" s="9" t="n">
        <v>23.974</v>
      </c>
      <c r="AD5" s="9" t="n">
        <v>45.08</v>
      </c>
      <c r="AE5" s="9" t="n">
        <v>4</v>
      </c>
      <c r="AF5" s="9" t="n">
        <v>4</v>
      </c>
      <c r="AG5" s="8" t="s">
        <v>133</v>
      </c>
      <c r="AH5" s="8" t="s">
        <v>43</v>
      </c>
      <c r="AI5" s="9" t="n">
        <v>0.299</v>
      </c>
    </row>
    <row r="6" customFormat="false" ht="15" hidden="false" customHeight="false" outlineLevel="0" collapsed="false">
      <c r="A6" s="8" t="s">
        <v>66</v>
      </c>
      <c r="B6" s="8" t="s">
        <v>36</v>
      </c>
      <c r="C6" s="8" t="s">
        <v>67</v>
      </c>
      <c r="D6" s="8" t="s">
        <v>42</v>
      </c>
      <c r="E6" s="9" t="n">
        <v>11.901</v>
      </c>
      <c r="F6" s="9" t="n">
        <v>1.229</v>
      </c>
      <c r="G6" s="9" t="n">
        <v>1.235</v>
      </c>
      <c r="H6" s="9" t="n">
        <v>0.006</v>
      </c>
      <c r="I6" s="8" t="s">
        <v>59</v>
      </c>
      <c r="J6" s="9" t="n">
        <v>10.218</v>
      </c>
      <c r="K6" s="9" t="n">
        <v>0.28</v>
      </c>
      <c r="L6" s="8" t="s">
        <v>58</v>
      </c>
      <c r="M6" s="9" t="n">
        <v>2.348</v>
      </c>
      <c r="N6" s="9" t="n">
        <v>0</v>
      </c>
      <c r="O6" s="9" t="n">
        <v>110.713</v>
      </c>
      <c r="P6" s="8" t="s">
        <v>60</v>
      </c>
      <c r="Q6" s="8" t="s">
        <v>58</v>
      </c>
      <c r="R6" s="9" t="n">
        <v>0.594</v>
      </c>
      <c r="S6" s="9" t="n">
        <v>0.153</v>
      </c>
      <c r="T6" s="8" t="s">
        <v>72</v>
      </c>
      <c r="U6" s="9" t="n">
        <v>1</v>
      </c>
      <c r="V6" s="9" t="n">
        <v>2.695</v>
      </c>
      <c r="W6" s="9" t="n">
        <v>0.938</v>
      </c>
      <c r="X6" s="9" t="n">
        <v>7.72</v>
      </c>
      <c r="Y6" s="8"/>
      <c r="Z6" s="9" t="n">
        <v>38.883</v>
      </c>
      <c r="AA6" s="9" t="n">
        <v>37.421</v>
      </c>
      <c r="AB6" s="9" t="n">
        <v>22.598</v>
      </c>
      <c r="AC6" s="9" t="n">
        <v>26.957</v>
      </c>
      <c r="AD6" s="9" t="n">
        <v>49.555</v>
      </c>
      <c r="AE6" s="9" t="n">
        <v>5</v>
      </c>
      <c r="AF6" s="9" t="n">
        <v>5</v>
      </c>
      <c r="AG6" s="8" t="s">
        <v>133</v>
      </c>
      <c r="AH6" s="8" t="s">
        <v>43</v>
      </c>
      <c r="AI6" s="9" t="n">
        <v>0.342</v>
      </c>
    </row>
    <row r="7" customFormat="false" ht="15" hidden="false" customHeight="false" outlineLevel="0" collapsed="false">
      <c r="A7" s="8" t="s">
        <v>75</v>
      </c>
      <c r="B7" s="8" t="s">
        <v>36</v>
      </c>
      <c r="C7" s="8" t="s">
        <v>76</v>
      </c>
      <c r="D7" s="8" t="s">
        <v>42</v>
      </c>
      <c r="E7" s="9" t="n">
        <v>10.304</v>
      </c>
      <c r="F7" s="9" t="n">
        <v>1.291</v>
      </c>
      <c r="G7" s="9" t="n">
        <v>1.297</v>
      </c>
      <c r="H7" s="9" t="n">
        <v>0.006</v>
      </c>
      <c r="I7" s="8" t="s">
        <v>59</v>
      </c>
      <c r="J7" s="9" t="n">
        <v>8.512</v>
      </c>
      <c r="K7" s="9" t="n">
        <v>0.346</v>
      </c>
      <c r="L7" s="8" t="s">
        <v>58</v>
      </c>
      <c r="M7" s="9" t="n">
        <v>2.508</v>
      </c>
      <c r="N7" s="9" t="n">
        <v>0</v>
      </c>
      <c r="O7" s="9" t="n">
        <v>261.074</v>
      </c>
      <c r="P7" s="8" t="s">
        <v>60</v>
      </c>
      <c r="Q7" s="8" t="s">
        <v>58</v>
      </c>
      <c r="R7" s="9" t="n">
        <v>2.609</v>
      </c>
      <c r="S7" s="9" t="n">
        <v>0.136</v>
      </c>
      <c r="T7" s="8" t="s">
        <v>79</v>
      </c>
      <c r="U7" s="9" t="n">
        <v>1</v>
      </c>
      <c r="V7" s="9" t="n">
        <v>2.603</v>
      </c>
      <c r="W7" s="9" t="n">
        <v>1.05</v>
      </c>
      <c r="X7" s="9" t="n">
        <v>7.371</v>
      </c>
      <c r="Y7" s="8"/>
      <c r="Z7" s="9" t="n">
        <v>40.426</v>
      </c>
      <c r="AA7" s="9" t="n">
        <v>37.947</v>
      </c>
      <c r="AB7" s="9" t="n">
        <v>19.917</v>
      </c>
      <c r="AC7" s="9" t="n">
        <v>29.522</v>
      </c>
      <c r="AD7" s="9" t="n">
        <v>49.439</v>
      </c>
      <c r="AE7" s="9" t="n">
        <v>5</v>
      </c>
      <c r="AF7" s="9" t="n">
        <v>4</v>
      </c>
      <c r="AG7" s="8" t="s">
        <v>133</v>
      </c>
      <c r="AH7" s="8" t="s">
        <v>43</v>
      </c>
      <c r="AI7" s="9" t="n">
        <v>0.709</v>
      </c>
    </row>
    <row r="8" customFormat="false" ht="15" hidden="false" customHeight="false" outlineLevel="0" collapsed="false">
      <c r="A8" s="8" t="s">
        <v>82</v>
      </c>
      <c r="B8" s="8" t="s">
        <v>36</v>
      </c>
      <c r="C8" s="8" t="s">
        <v>76</v>
      </c>
      <c r="D8" s="8" t="s">
        <v>85</v>
      </c>
      <c r="E8" s="9" t="n">
        <v>0.511</v>
      </c>
      <c r="F8" s="8"/>
      <c r="G8" s="8"/>
      <c r="H8" s="8"/>
      <c r="I8" s="8"/>
      <c r="J8" s="8"/>
      <c r="K8" s="9" t="n">
        <v>0.343</v>
      </c>
      <c r="L8" s="8" t="s">
        <v>58</v>
      </c>
      <c r="M8" s="9" t="n">
        <v>1.574</v>
      </c>
      <c r="N8" s="9" t="n">
        <v>0</v>
      </c>
      <c r="O8" s="9" t="n">
        <v>67.783</v>
      </c>
      <c r="P8" s="8" t="s">
        <v>60</v>
      </c>
      <c r="Q8" s="8" t="s">
        <v>58</v>
      </c>
      <c r="R8" s="9" t="n">
        <v>0.886</v>
      </c>
      <c r="S8" s="9" t="n">
        <v>0.157</v>
      </c>
      <c r="T8" s="8" t="s">
        <v>86</v>
      </c>
      <c r="U8" s="9" t="n">
        <v>1</v>
      </c>
      <c r="V8" s="9" t="n">
        <v>2.592</v>
      </c>
      <c r="W8" s="9" t="n">
        <v>1.033</v>
      </c>
      <c r="X8" s="9" t="n">
        <v>17.209</v>
      </c>
      <c r="Y8" s="8"/>
      <c r="Z8" s="9" t="n">
        <v>46.561</v>
      </c>
      <c r="AA8" s="9" t="n">
        <v>39.692</v>
      </c>
      <c r="AB8" s="9" t="n">
        <v>28.371</v>
      </c>
      <c r="AC8" s="9" t="n">
        <v>18.701</v>
      </c>
      <c r="AD8" s="9" t="n">
        <v>47.072</v>
      </c>
      <c r="AE8" s="9" t="n">
        <v>3</v>
      </c>
      <c r="AF8" s="9" t="n">
        <v>2</v>
      </c>
      <c r="AG8" s="8" t="s">
        <v>133</v>
      </c>
      <c r="AH8" s="8" t="s">
        <v>43</v>
      </c>
      <c r="AI8" s="9" t="n">
        <v>0.287</v>
      </c>
    </row>
    <row r="9" customFormat="false" ht="15" hidden="false" customHeight="false" outlineLevel="0" collapsed="false">
      <c r="A9" s="8" t="s">
        <v>88</v>
      </c>
      <c r="B9" s="8" t="s">
        <v>36</v>
      </c>
      <c r="C9" s="8" t="s">
        <v>38</v>
      </c>
      <c r="D9" s="8" t="s">
        <v>42</v>
      </c>
      <c r="E9" s="8"/>
      <c r="F9" s="9" t="n">
        <v>1.262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9" t="n">
        <v>0</v>
      </c>
      <c r="AF9" s="9" t="n">
        <v>1</v>
      </c>
      <c r="AG9" s="8"/>
      <c r="AH9" s="8" t="s">
        <v>43</v>
      </c>
      <c r="AI9" s="9" t="n">
        <v>3.106</v>
      </c>
    </row>
    <row r="10" customFormat="false" ht="15" hidden="false" customHeight="false" outlineLevel="0" collapsed="false">
      <c r="A10" s="8" t="s">
        <v>91</v>
      </c>
      <c r="B10" s="8" t="s">
        <v>36</v>
      </c>
      <c r="C10" s="8" t="s">
        <v>47</v>
      </c>
      <c r="D10" s="8" t="s">
        <v>42</v>
      </c>
      <c r="E10" s="8"/>
      <c r="F10" s="9" t="n">
        <v>1.144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9" t="n">
        <v>0</v>
      </c>
      <c r="AF10" s="9" t="n">
        <v>1</v>
      </c>
      <c r="AG10" s="8"/>
      <c r="AH10" s="8" t="s">
        <v>43</v>
      </c>
      <c r="AI10" s="9" t="n">
        <v>0.919</v>
      </c>
    </row>
    <row r="11" customFormat="false" ht="15" hidden="false" customHeight="false" outlineLevel="0" collapsed="false">
      <c r="A11" s="8" t="s">
        <v>95</v>
      </c>
      <c r="B11" s="8" t="s">
        <v>36</v>
      </c>
      <c r="C11" s="8" t="s">
        <v>54</v>
      </c>
      <c r="D11" s="8" t="s">
        <v>42</v>
      </c>
      <c r="E11" s="9" t="n">
        <v>9.442</v>
      </c>
      <c r="F11" s="9" t="n">
        <v>1.631</v>
      </c>
      <c r="G11" s="9" t="n">
        <v>2.867</v>
      </c>
      <c r="H11" s="9" t="n">
        <v>1.236</v>
      </c>
      <c r="I11" s="8" t="s">
        <v>98</v>
      </c>
      <c r="J11" s="9" t="n">
        <v>4.346</v>
      </c>
      <c r="K11" s="9" t="n">
        <v>0.47</v>
      </c>
      <c r="L11" s="8" t="s">
        <v>58</v>
      </c>
      <c r="M11" s="9" t="n">
        <v>1.796</v>
      </c>
      <c r="N11" s="9" t="n">
        <v>0</v>
      </c>
      <c r="O11" s="9" t="n">
        <v>1811.875</v>
      </c>
      <c r="P11" s="8" t="s">
        <v>60</v>
      </c>
      <c r="Q11" s="8" t="s">
        <v>99</v>
      </c>
      <c r="R11" s="9" t="n">
        <v>1.565</v>
      </c>
      <c r="S11" s="9" t="n">
        <v>1.752</v>
      </c>
      <c r="T11" s="8" t="s">
        <v>100</v>
      </c>
      <c r="U11" s="9" t="n">
        <v>1</v>
      </c>
      <c r="V11" s="9" t="n">
        <v>2.62</v>
      </c>
      <c r="W11" s="9" t="n">
        <v>1.01</v>
      </c>
      <c r="X11" s="9" t="n">
        <v>12.801</v>
      </c>
      <c r="Y11" s="8"/>
      <c r="Z11" s="9" t="n">
        <v>37.677</v>
      </c>
      <c r="AA11" s="9" t="n">
        <v>43.736</v>
      </c>
      <c r="AB11" s="9" t="n">
        <v>21.857</v>
      </c>
      <c r="AC11" s="9" t="n">
        <v>23.631</v>
      </c>
      <c r="AD11" s="9" t="n">
        <v>45.488</v>
      </c>
      <c r="AE11" s="9" t="n">
        <v>3</v>
      </c>
      <c r="AF11" s="9" t="n">
        <v>4</v>
      </c>
      <c r="AG11" s="8" t="s">
        <v>133</v>
      </c>
      <c r="AH11" s="8" t="s">
        <v>43</v>
      </c>
      <c r="AI11" s="9" t="n">
        <v>3.191</v>
      </c>
    </row>
  </sheetData>
  <autoFilter ref="A2:AI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1"/>
    <col collapsed="false" customWidth="true" hidden="false" outlineLevel="0" max="4" min="4" style="0" width="14"/>
    <col collapsed="false" customWidth="true" hidden="false" outlineLevel="0" max="5" min="5" style="0" width="90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134</v>
      </c>
      <c r="D1" s="1" t="s">
        <v>135</v>
      </c>
      <c r="E1" s="1" t="s">
        <v>136</v>
      </c>
    </row>
    <row r="2" customFormat="false" ht="15" hidden="false" customHeight="false" outlineLevel="0" collapsed="false">
      <c r="A2" s="3" t="s">
        <v>35</v>
      </c>
      <c r="B2" s="3" t="s">
        <v>36</v>
      </c>
      <c r="C2" s="5" t="n">
        <v>4.584</v>
      </c>
      <c r="D2" s="10" t="s">
        <v>137</v>
      </c>
      <c r="E2" s="11" t="s">
        <v>41</v>
      </c>
    </row>
    <row r="3" customFormat="false" ht="15" hidden="false" customHeight="false" outlineLevel="0" collapsed="false">
      <c r="A3" s="3" t="s">
        <v>35</v>
      </c>
      <c r="B3" s="3" t="s">
        <v>36</v>
      </c>
      <c r="C3" s="5" t="n">
        <v>5.974</v>
      </c>
      <c r="D3" s="3" t="s">
        <v>138</v>
      </c>
      <c r="E3" s="11" t="s">
        <v>139</v>
      </c>
    </row>
    <row r="4" customFormat="false" ht="15" hidden="false" customHeight="false" outlineLevel="0" collapsed="false">
      <c r="A4" s="3" t="s">
        <v>46</v>
      </c>
      <c r="B4" s="3" t="s">
        <v>36</v>
      </c>
      <c r="C4" s="5" t="n">
        <v>4.024</v>
      </c>
      <c r="D4" s="10" t="s">
        <v>137</v>
      </c>
      <c r="E4" s="11" t="s">
        <v>49</v>
      </c>
    </row>
    <row r="5" customFormat="false" ht="15" hidden="false" customHeight="false" outlineLevel="0" collapsed="false">
      <c r="A5" s="3" t="s">
        <v>46</v>
      </c>
      <c r="B5" s="3" t="s">
        <v>36</v>
      </c>
      <c r="C5" s="5" t="n">
        <v>5.266</v>
      </c>
      <c r="D5" s="3" t="s">
        <v>138</v>
      </c>
      <c r="E5" s="11" t="s">
        <v>140</v>
      </c>
    </row>
    <row r="6" customFormat="false" ht="15" hidden="false" customHeight="false" outlineLevel="0" collapsed="false">
      <c r="A6" s="3" t="s">
        <v>46</v>
      </c>
      <c r="B6" s="3" t="s">
        <v>36</v>
      </c>
      <c r="C6" s="5" t="n">
        <v>8.114</v>
      </c>
      <c r="D6" s="3" t="s">
        <v>138</v>
      </c>
      <c r="E6" s="11" t="s">
        <v>139</v>
      </c>
    </row>
    <row r="7" customFormat="false" ht="15" hidden="false" customHeight="false" outlineLevel="0" collapsed="false">
      <c r="A7" s="3" t="s">
        <v>46</v>
      </c>
      <c r="B7" s="3" t="s">
        <v>36</v>
      </c>
      <c r="C7" s="5" t="n">
        <v>13.78</v>
      </c>
      <c r="D7" s="3" t="s">
        <v>138</v>
      </c>
      <c r="E7" s="11" t="s">
        <v>141</v>
      </c>
    </row>
    <row r="8" customFormat="false" ht="15" hidden="false" customHeight="false" outlineLevel="0" collapsed="false">
      <c r="A8" s="3" t="s">
        <v>53</v>
      </c>
      <c r="B8" s="3" t="s">
        <v>36</v>
      </c>
      <c r="C8" s="5" t="n">
        <v>4.529</v>
      </c>
      <c r="D8" s="10" t="s">
        <v>137</v>
      </c>
      <c r="E8" s="11" t="s">
        <v>56</v>
      </c>
    </row>
    <row r="9" customFormat="false" ht="15" hidden="false" customHeight="false" outlineLevel="0" collapsed="false">
      <c r="A9" s="3" t="s">
        <v>53</v>
      </c>
      <c r="B9" s="3" t="s">
        <v>36</v>
      </c>
      <c r="C9" s="5" t="n">
        <v>4.54</v>
      </c>
      <c r="D9" s="3" t="s">
        <v>142</v>
      </c>
      <c r="E9" s="11" t="s">
        <v>143</v>
      </c>
    </row>
    <row r="10" customFormat="false" ht="15" hidden="false" customHeight="false" outlineLevel="0" collapsed="false">
      <c r="A10" s="3" t="s">
        <v>53</v>
      </c>
      <c r="B10" s="3" t="s">
        <v>36</v>
      </c>
      <c r="C10" s="5" t="n">
        <v>8.4</v>
      </c>
      <c r="D10" s="3" t="s">
        <v>138</v>
      </c>
      <c r="E10" s="11" t="s">
        <v>144</v>
      </c>
    </row>
    <row r="11" customFormat="false" ht="15" hidden="false" customHeight="false" outlineLevel="0" collapsed="false">
      <c r="A11" s="3" t="s">
        <v>53</v>
      </c>
      <c r="B11" s="3" t="s">
        <v>36</v>
      </c>
      <c r="C11" s="5" t="n">
        <v>13.984</v>
      </c>
      <c r="D11" s="3" t="s">
        <v>138</v>
      </c>
      <c r="E11" s="11" t="s">
        <v>145</v>
      </c>
    </row>
    <row r="12" customFormat="false" ht="15" hidden="false" customHeight="false" outlineLevel="0" collapsed="false">
      <c r="A12" s="3" t="s">
        <v>53</v>
      </c>
      <c r="B12" s="3" t="s">
        <v>36</v>
      </c>
      <c r="C12" s="5" t="n">
        <v>20.882</v>
      </c>
      <c r="D12" s="10" t="s">
        <v>137</v>
      </c>
      <c r="E12" s="11" t="s">
        <v>84</v>
      </c>
    </row>
    <row r="13" customFormat="false" ht="15" hidden="false" customHeight="false" outlineLevel="0" collapsed="false">
      <c r="A13" s="3" t="s">
        <v>53</v>
      </c>
      <c r="B13" s="3" t="s">
        <v>36</v>
      </c>
      <c r="C13" s="5" t="n">
        <v>20.9</v>
      </c>
      <c r="D13" s="3" t="s">
        <v>142</v>
      </c>
      <c r="E13" s="11" t="s">
        <v>57</v>
      </c>
    </row>
    <row r="14" customFormat="false" ht="15" hidden="false" customHeight="false" outlineLevel="0" collapsed="false">
      <c r="A14" s="3" t="s">
        <v>53</v>
      </c>
      <c r="B14" s="3" t="s">
        <v>36</v>
      </c>
      <c r="C14" s="5" t="n">
        <v>20.971</v>
      </c>
      <c r="D14" s="3" t="s">
        <v>138</v>
      </c>
      <c r="E14" s="11" t="s">
        <v>146</v>
      </c>
    </row>
    <row r="15" customFormat="false" ht="15" hidden="false" customHeight="false" outlineLevel="0" collapsed="false">
      <c r="A15" s="3" t="s">
        <v>53</v>
      </c>
      <c r="B15" s="3" t="s">
        <v>36</v>
      </c>
      <c r="C15" s="5" t="n">
        <v>26.04</v>
      </c>
      <c r="D15" s="3" t="s">
        <v>138</v>
      </c>
      <c r="E15" s="11" t="s">
        <v>147</v>
      </c>
    </row>
    <row r="16" customFormat="false" ht="15" hidden="false" customHeight="false" outlineLevel="0" collapsed="false">
      <c r="A16" s="3" t="s">
        <v>53</v>
      </c>
      <c r="B16" s="3" t="s">
        <v>36</v>
      </c>
      <c r="C16" s="5" t="n">
        <v>34.921</v>
      </c>
      <c r="D16" s="10" t="s">
        <v>137</v>
      </c>
      <c r="E16" s="11" t="s">
        <v>148</v>
      </c>
    </row>
    <row r="17" customFormat="false" ht="15" hidden="false" customHeight="false" outlineLevel="0" collapsed="false">
      <c r="A17" s="3" t="s">
        <v>53</v>
      </c>
      <c r="B17" s="3" t="s">
        <v>36</v>
      </c>
      <c r="C17" s="5" t="n">
        <v>34.988</v>
      </c>
      <c r="D17" s="3" t="s">
        <v>142</v>
      </c>
      <c r="E17" s="11" t="s">
        <v>149</v>
      </c>
    </row>
    <row r="18" customFormat="false" ht="15" hidden="false" customHeight="false" outlineLevel="0" collapsed="false">
      <c r="A18" s="3" t="s">
        <v>53</v>
      </c>
      <c r="B18" s="3" t="s">
        <v>36</v>
      </c>
      <c r="C18" s="5" t="n">
        <v>35.032</v>
      </c>
      <c r="D18" s="3" t="s">
        <v>138</v>
      </c>
      <c r="E18" s="11" t="s">
        <v>150</v>
      </c>
    </row>
    <row r="19" customFormat="false" ht="15" hidden="false" customHeight="false" outlineLevel="0" collapsed="false">
      <c r="A19" s="3" t="s">
        <v>53</v>
      </c>
      <c r="B19" s="3" t="s">
        <v>36</v>
      </c>
      <c r="C19" s="5" t="n">
        <v>38.779</v>
      </c>
      <c r="D19" s="3" t="s">
        <v>138</v>
      </c>
      <c r="E19" s="11" t="s">
        <v>151</v>
      </c>
    </row>
    <row r="20" customFormat="false" ht="15" hidden="false" customHeight="false" outlineLevel="0" collapsed="false">
      <c r="A20" s="3" t="s">
        <v>53</v>
      </c>
      <c r="B20" s="3" t="s">
        <v>36</v>
      </c>
      <c r="C20" s="5" t="n">
        <v>43.952</v>
      </c>
      <c r="D20" s="10" t="s">
        <v>137</v>
      </c>
      <c r="E20" s="11" t="s">
        <v>152</v>
      </c>
    </row>
    <row r="21" customFormat="false" ht="15" hidden="false" customHeight="false" outlineLevel="0" collapsed="false">
      <c r="A21" s="3" t="s">
        <v>53</v>
      </c>
      <c r="B21" s="3" t="s">
        <v>36</v>
      </c>
      <c r="C21" s="5" t="n">
        <v>44.002</v>
      </c>
      <c r="D21" s="3" t="s">
        <v>142</v>
      </c>
      <c r="E21" s="11" t="s">
        <v>153</v>
      </c>
    </row>
    <row r="22" customFormat="false" ht="15" hidden="false" customHeight="false" outlineLevel="0" collapsed="false">
      <c r="A22" s="3" t="s">
        <v>53</v>
      </c>
      <c r="B22" s="3" t="s">
        <v>36</v>
      </c>
      <c r="C22" s="5" t="n">
        <v>44.019</v>
      </c>
      <c r="D22" s="3" t="s">
        <v>138</v>
      </c>
      <c r="E22" s="11" t="s">
        <v>154</v>
      </c>
    </row>
    <row r="23" customFormat="false" ht="15" hidden="false" customHeight="false" outlineLevel="0" collapsed="false">
      <c r="A23" s="3" t="s">
        <v>53</v>
      </c>
      <c r="B23" s="3" t="s">
        <v>36</v>
      </c>
      <c r="C23" s="5" t="n">
        <v>49.626</v>
      </c>
      <c r="D23" s="3" t="s">
        <v>138</v>
      </c>
      <c r="E23" s="11" t="s">
        <v>155</v>
      </c>
    </row>
    <row r="24" customFormat="false" ht="15" hidden="false" customHeight="false" outlineLevel="0" collapsed="false">
      <c r="A24" s="3" t="s">
        <v>66</v>
      </c>
      <c r="B24" s="3" t="s">
        <v>36</v>
      </c>
      <c r="C24" s="5" t="n">
        <v>11.755</v>
      </c>
      <c r="D24" s="10" t="s">
        <v>137</v>
      </c>
      <c r="E24" s="11" t="s">
        <v>69</v>
      </c>
    </row>
    <row r="25" customFormat="false" ht="15" hidden="false" customHeight="false" outlineLevel="0" collapsed="false">
      <c r="A25" s="3" t="s">
        <v>66</v>
      </c>
      <c r="B25" s="3" t="s">
        <v>36</v>
      </c>
      <c r="C25" s="5" t="n">
        <v>11.761</v>
      </c>
      <c r="D25" s="3" t="s">
        <v>142</v>
      </c>
      <c r="E25" s="11" t="s">
        <v>156</v>
      </c>
    </row>
    <row r="26" customFormat="false" ht="15" hidden="false" customHeight="false" outlineLevel="0" collapsed="false">
      <c r="A26" s="3" t="s">
        <v>66</v>
      </c>
      <c r="B26" s="3" t="s">
        <v>36</v>
      </c>
      <c r="C26" s="5" t="n">
        <v>11.815</v>
      </c>
      <c r="D26" s="3" t="s">
        <v>138</v>
      </c>
      <c r="E26" s="11" t="s">
        <v>157</v>
      </c>
    </row>
    <row r="27" customFormat="false" ht="15" hidden="false" customHeight="false" outlineLevel="0" collapsed="false">
      <c r="A27" s="3" t="s">
        <v>66</v>
      </c>
      <c r="B27" s="3" t="s">
        <v>36</v>
      </c>
      <c r="C27" s="5" t="n">
        <v>20.618</v>
      </c>
      <c r="D27" s="10" t="s">
        <v>137</v>
      </c>
      <c r="E27" s="11" t="s">
        <v>158</v>
      </c>
    </row>
    <row r="28" customFormat="false" ht="15" hidden="false" customHeight="false" outlineLevel="0" collapsed="false">
      <c r="A28" s="3" t="s">
        <v>66</v>
      </c>
      <c r="B28" s="3" t="s">
        <v>36</v>
      </c>
      <c r="C28" s="5" t="n">
        <v>21.632</v>
      </c>
      <c r="D28" s="3" t="s">
        <v>142</v>
      </c>
      <c r="E28" s="11" t="s">
        <v>159</v>
      </c>
    </row>
    <row r="29" customFormat="false" ht="15" hidden="false" customHeight="false" outlineLevel="0" collapsed="false">
      <c r="A29" s="3" t="s">
        <v>66</v>
      </c>
      <c r="B29" s="3" t="s">
        <v>36</v>
      </c>
      <c r="C29" s="5" t="n">
        <v>21.687</v>
      </c>
      <c r="D29" s="3" t="s">
        <v>138</v>
      </c>
      <c r="E29" s="11" t="s">
        <v>160</v>
      </c>
    </row>
    <row r="30" customFormat="false" ht="15" hidden="false" customHeight="false" outlineLevel="0" collapsed="false">
      <c r="A30" s="3" t="s">
        <v>66</v>
      </c>
      <c r="B30" s="3" t="s">
        <v>36</v>
      </c>
      <c r="C30" s="5" t="n">
        <v>24.057</v>
      </c>
      <c r="D30" s="3" t="s">
        <v>138</v>
      </c>
      <c r="E30" s="11" t="s">
        <v>161</v>
      </c>
    </row>
    <row r="31" customFormat="false" ht="15" hidden="false" customHeight="false" outlineLevel="0" collapsed="false">
      <c r="A31" s="3" t="s">
        <v>66</v>
      </c>
      <c r="B31" s="3" t="s">
        <v>36</v>
      </c>
      <c r="C31" s="5" t="n">
        <v>27.467</v>
      </c>
      <c r="D31" s="3" t="s">
        <v>138</v>
      </c>
      <c r="E31" s="11" t="s">
        <v>162</v>
      </c>
    </row>
    <row r="32" customFormat="false" ht="15" hidden="false" customHeight="false" outlineLevel="0" collapsed="false">
      <c r="A32" s="3" t="s">
        <v>66</v>
      </c>
      <c r="B32" s="3" t="s">
        <v>36</v>
      </c>
      <c r="C32" s="5" t="n">
        <v>35.119</v>
      </c>
      <c r="D32" s="10" t="s">
        <v>137</v>
      </c>
      <c r="E32" s="11" t="s">
        <v>163</v>
      </c>
    </row>
    <row r="33" customFormat="false" ht="15" hidden="false" customHeight="false" outlineLevel="0" collapsed="false">
      <c r="A33" s="3" t="s">
        <v>66</v>
      </c>
      <c r="B33" s="3" t="s">
        <v>36</v>
      </c>
      <c r="C33" s="5" t="n">
        <v>35.125</v>
      </c>
      <c r="D33" s="3" t="s">
        <v>142</v>
      </c>
      <c r="E33" s="11" t="s">
        <v>71</v>
      </c>
    </row>
    <row r="34" customFormat="false" ht="15" hidden="false" customHeight="false" outlineLevel="0" collapsed="false">
      <c r="A34" s="3" t="s">
        <v>66</v>
      </c>
      <c r="B34" s="3" t="s">
        <v>36</v>
      </c>
      <c r="C34" s="5" t="n">
        <v>35.188</v>
      </c>
      <c r="D34" s="3" t="s">
        <v>138</v>
      </c>
      <c r="E34" s="11" t="s">
        <v>164</v>
      </c>
    </row>
    <row r="35" customFormat="false" ht="15" hidden="false" customHeight="false" outlineLevel="0" collapsed="false">
      <c r="A35" s="3" t="s">
        <v>66</v>
      </c>
      <c r="B35" s="3" t="s">
        <v>36</v>
      </c>
      <c r="C35" s="5" t="n">
        <v>38.412</v>
      </c>
      <c r="D35" s="3" t="s">
        <v>138</v>
      </c>
      <c r="E35" s="11" t="s">
        <v>165</v>
      </c>
    </row>
    <row r="36" customFormat="false" ht="15" hidden="false" customHeight="false" outlineLevel="0" collapsed="false">
      <c r="A36" s="3" t="s">
        <v>66</v>
      </c>
      <c r="B36" s="3" t="s">
        <v>36</v>
      </c>
      <c r="C36" s="5" t="n">
        <v>47.32</v>
      </c>
      <c r="D36" s="10" t="s">
        <v>137</v>
      </c>
      <c r="E36" s="11" t="s">
        <v>166</v>
      </c>
    </row>
    <row r="37" customFormat="false" ht="15" hidden="false" customHeight="false" outlineLevel="0" collapsed="false">
      <c r="A37" s="3" t="s">
        <v>66</v>
      </c>
      <c r="B37" s="3" t="s">
        <v>36</v>
      </c>
      <c r="C37" s="5" t="n">
        <v>47.325</v>
      </c>
      <c r="D37" s="3" t="s">
        <v>142</v>
      </c>
      <c r="E37" s="11" t="s">
        <v>149</v>
      </c>
    </row>
    <row r="38" customFormat="false" ht="15" hidden="false" customHeight="false" outlineLevel="0" collapsed="false">
      <c r="A38" s="3" t="s">
        <v>66</v>
      </c>
      <c r="B38" s="3" t="s">
        <v>36</v>
      </c>
      <c r="C38" s="5" t="n">
        <v>47.385</v>
      </c>
      <c r="D38" s="3" t="s">
        <v>138</v>
      </c>
      <c r="E38" s="11" t="s">
        <v>150</v>
      </c>
    </row>
    <row r="39" customFormat="false" ht="15" hidden="false" customHeight="false" outlineLevel="0" collapsed="false">
      <c r="A39" s="3" t="s">
        <v>66</v>
      </c>
      <c r="B39" s="3" t="s">
        <v>36</v>
      </c>
      <c r="C39" s="5" t="n">
        <v>50.963</v>
      </c>
      <c r="D39" s="3" t="s">
        <v>138</v>
      </c>
      <c r="E39" s="11" t="s">
        <v>151</v>
      </c>
    </row>
    <row r="40" customFormat="false" ht="15" hidden="false" customHeight="false" outlineLevel="0" collapsed="false">
      <c r="A40" s="3" t="s">
        <v>66</v>
      </c>
      <c r="B40" s="3" t="s">
        <v>36</v>
      </c>
      <c r="C40" s="5" t="n">
        <v>56.937</v>
      </c>
      <c r="D40" s="10" t="s">
        <v>137</v>
      </c>
      <c r="E40" s="11" t="s">
        <v>152</v>
      </c>
    </row>
    <row r="41" customFormat="false" ht="15" hidden="false" customHeight="false" outlineLevel="0" collapsed="false">
      <c r="A41" s="3" t="s">
        <v>66</v>
      </c>
      <c r="B41" s="3" t="s">
        <v>36</v>
      </c>
      <c r="C41" s="5" t="n">
        <v>56.949</v>
      </c>
      <c r="D41" s="3" t="s">
        <v>142</v>
      </c>
      <c r="E41" s="11" t="s">
        <v>153</v>
      </c>
    </row>
    <row r="42" customFormat="false" ht="15" hidden="false" customHeight="false" outlineLevel="0" collapsed="false">
      <c r="A42" s="3" t="s">
        <v>66</v>
      </c>
      <c r="B42" s="3" t="s">
        <v>36</v>
      </c>
      <c r="C42" s="5" t="n">
        <v>56.959</v>
      </c>
      <c r="D42" s="3" t="s">
        <v>138</v>
      </c>
      <c r="E42" s="11" t="s">
        <v>154</v>
      </c>
    </row>
    <row r="43" customFormat="false" ht="15" hidden="false" customHeight="false" outlineLevel="0" collapsed="false">
      <c r="A43" s="3" t="s">
        <v>66</v>
      </c>
      <c r="B43" s="3" t="s">
        <v>36</v>
      </c>
      <c r="C43" s="5" t="n">
        <v>61.32</v>
      </c>
      <c r="D43" s="3" t="s">
        <v>138</v>
      </c>
      <c r="E43" s="11" t="s">
        <v>155</v>
      </c>
    </row>
    <row r="44" customFormat="false" ht="15" hidden="false" customHeight="false" outlineLevel="0" collapsed="false">
      <c r="A44" s="3" t="s">
        <v>75</v>
      </c>
      <c r="B44" s="3" t="s">
        <v>36</v>
      </c>
      <c r="C44" s="5" t="n">
        <v>4.371</v>
      </c>
      <c r="D44" s="10" t="s">
        <v>137</v>
      </c>
      <c r="E44" s="11" t="s">
        <v>69</v>
      </c>
    </row>
    <row r="45" customFormat="false" ht="15" hidden="false" customHeight="false" outlineLevel="0" collapsed="false">
      <c r="A45" s="3" t="s">
        <v>75</v>
      </c>
      <c r="B45" s="3" t="s">
        <v>36</v>
      </c>
      <c r="C45" s="5" t="n">
        <v>4.377</v>
      </c>
      <c r="D45" s="3" t="s">
        <v>142</v>
      </c>
      <c r="E45" s="11" t="s">
        <v>156</v>
      </c>
    </row>
    <row r="46" customFormat="false" ht="15" hidden="false" customHeight="false" outlineLevel="0" collapsed="false">
      <c r="A46" s="3" t="s">
        <v>75</v>
      </c>
      <c r="B46" s="3" t="s">
        <v>36</v>
      </c>
      <c r="C46" s="5" t="n">
        <v>4.429</v>
      </c>
      <c r="D46" s="3" t="s">
        <v>138</v>
      </c>
      <c r="E46" s="11" t="s">
        <v>157</v>
      </c>
    </row>
    <row r="47" customFormat="false" ht="15" hidden="false" customHeight="false" outlineLevel="0" collapsed="false">
      <c r="A47" s="3" t="s">
        <v>75</v>
      </c>
      <c r="B47" s="3" t="s">
        <v>36</v>
      </c>
      <c r="C47" s="5" t="n">
        <v>13.509</v>
      </c>
      <c r="D47" s="3" t="s">
        <v>138</v>
      </c>
      <c r="E47" s="11" t="s">
        <v>161</v>
      </c>
    </row>
    <row r="48" customFormat="false" ht="15" hidden="false" customHeight="false" outlineLevel="0" collapsed="false">
      <c r="A48" s="3" t="s">
        <v>75</v>
      </c>
      <c r="B48" s="3" t="s">
        <v>36</v>
      </c>
      <c r="C48" s="5" t="n">
        <v>19.09</v>
      </c>
      <c r="D48" s="3" t="s">
        <v>138</v>
      </c>
      <c r="E48" s="11" t="s">
        <v>162</v>
      </c>
    </row>
    <row r="49" customFormat="false" ht="15" hidden="false" customHeight="false" outlineLevel="0" collapsed="false">
      <c r="A49" s="3" t="s">
        <v>75</v>
      </c>
      <c r="B49" s="3" t="s">
        <v>36</v>
      </c>
      <c r="C49" s="5" t="n">
        <v>26.437</v>
      </c>
      <c r="D49" s="10" t="s">
        <v>137</v>
      </c>
      <c r="E49" s="11" t="s">
        <v>84</v>
      </c>
    </row>
    <row r="50" customFormat="false" ht="15" hidden="false" customHeight="false" outlineLevel="0" collapsed="false">
      <c r="A50" s="3" t="s">
        <v>75</v>
      </c>
      <c r="B50" s="3" t="s">
        <v>36</v>
      </c>
      <c r="C50" s="5" t="n">
        <v>26.441</v>
      </c>
      <c r="D50" s="3" t="s">
        <v>142</v>
      </c>
      <c r="E50" s="11" t="s">
        <v>57</v>
      </c>
    </row>
    <row r="51" customFormat="false" ht="15" hidden="false" customHeight="false" outlineLevel="0" collapsed="false">
      <c r="A51" s="3" t="s">
        <v>75</v>
      </c>
      <c r="B51" s="3" t="s">
        <v>36</v>
      </c>
      <c r="C51" s="5" t="n">
        <v>26.464</v>
      </c>
      <c r="D51" s="3" t="s">
        <v>138</v>
      </c>
      <c r="E51" s="11" t="s">
        <v>146</v>
      </c>
    </row>
    <row r="52" customFormat="false" ht="15" hidden="false" customHeight="false" outlineLevel="0" collapsed="false">
      <c r="A52" s="3" t="s">
        <v>75</v>
      </c>
      <c r="B52" s="3" t="s">
        <v>36</v>
      </c>
      <c r="C52" s="5" t="n">
        <v>31.944</v>
      </c>
      <c r="D52" s="3" t="s">
        <v>138</v>
      </c>
      <c r="E52" s="11" t="s">
        <v>167</v>
      </c>
    </row>
    <row r="53" customFormat="false" ht="15" hidden="false" customHeight="false" outlineLevel="0" collapsed="false">
      <c r="A53" s="3" t="s">
        <v>75</v>
      </c>
      <c r="B53" s="3" t="s">
        <v>36</v>
      </c>
      <c r="C53" s="5" t="n">
        <v>40.259</v>
      </c>
      <c r="D53" s="10" t="s">
        <v>137</v>
      </c>
      <c r="E53" s="11" t="s">
        <v>168</v>
      </c>
    </row>
    <row r="54" customFormat="false" ht="15" hidden="false" customHeight="false" outlineLevel="0" collapsed="false">
      <c r="A54" s="3" t="s">
        <v>75</v>
      </c>
      <c r="B54" s="3" t="s">
        <v>36</v>
      </c>
      <c r="C54" s="5" t="n">
        <v>40.263</v>
      </c>
      <c r="D54" s="3" t="s">
        <v>142</v>
      </c>
      <c r="E54" s="11" t="s">
        <v>149</v>
      </c>
    </row>
    <row r="55" customFormat="false" ht="15" hidden="false" customHeight="false" outlineLevel="0" collapsed="false">
      <c r="A55" s="3" t="s">
        <v>75</v>
      </c>
      <c r="B55" s="3" t="s">
        <v>36</v>
      </c>
      <c r="C55" s="5" t="n">
        <v>40.307</v>
      </c>
      <c r="D55" s="3" t="s">
        <v>138</v>
      </c>
      <c r="E55" s="11" t="s">
        <v>150</v>
      </c>
    </row>
    <row r="56" customFormat="false" ht="15" hidden="false" customHeight="false" outlineLevel="0" collapsed="false">
      <c r="A56" s="3" t="s">
        <v>75</v>
      </c>
      <c r="B56" s="3" t="s">
        <v>36</v>
      </c>
      <c r="C56" s="5" t="n">
        <v>44.057</v>
      </c>
      <c r="D56" s="3" t="s">
        <v>138</v>
      </c>
      <c r="E56" s="11" t="s">
        <v>151</v>
      </c>
    </row>
    <row r="57" customFormat="false" ht="15" hidden="false" customHeight="false" outlineLevel="0" collapsed="false">
      <c r="A57" s="3" t="s">
        <v>75</v>
      </c>
      <c r="B57" s="3" t="s">
        <v>36</v>
      </c>
      <c r="C57" s="5" t="n">
        <v>48.239</v>
      </c>
      <c r="D57" s="10" t="s">
        <v>137</v>
      </c>
      <c r="E57" s="11" t="s">
        <v>169</v>
      </c>
    </row>
    <row r="58" customFormat="false" ht="15" hidden="false" customHeight="false" outlineLevel="0" collapsed="false">
      <c r="A58" s="3" t="s">
        <v>75</v>
      </c>
      <c r="B58" s="3" t="s">
        <v>36</v>
      </c>
      <c r="C58" s="5" t="n">
        <v>48.244</v>
      </c>
      <c r="D58" s="3" t="s">
        <v>142</v>
      </c>
      <c r="E58" s="11" t="s">
        <v>153</v>
      </c>
    </row>
    <row r="59" customFormat="false" ht="15" hidden="false" customHeight="false" outlineLevel="0" collapsed="false">
      <c r="A59" s="3" t="s">
        <v>75</v>
      </c>
      <c r="B59" s="3" t="s">
        <v>36</v>
      </c>
      <c r="C59" s="5" t="n">
        <v>48.257</v>
      </c>
      <c r="D59" s="3" t="s">
        <v>138</v>
      </c>
      <c r="E59" s="11" t="s">
        <v>154</v>
      </c>
    </row>
    <row r="60" customFormat="false" ht="15" hidden="false" customHeight="false" outlineLevel="0" collapsed="false">
      <c r="A60" s="3" t="s">
        <v>75</v>
      </c>
      <c r="B60" s="3" t="s">
        <v>36</v>
      </c>
      <c r="C60" s="5" t="n">
        <v>53.827</v>
      </c>
      <c r="D60" s="3" t="s">
        <v>138</v>
      </c>
      <c r="E60" s="11" t="s">
        <v>155</v>
      </c>
    </row>
    <row r="61" customFormat="false" ht="15" hidden="false" customHeight="false" outlineLevel="0" collapsed="false">
      <c r="A61" s="3" t="s">
        <v>82</v>
      </c>
      <c r="B61" s="3" t="s">
        <v>36</v>
      </c>
      <c r="C61" s="5" t="n">
        <v>5.661</v>
      </c>
      <c r="D61" s="3" t="s">
        <v>138</v>
      </c>
      <c r="E61" s="11" t="s">
        <v>144</v>
      </c>
    </row>
    <row r="62" customFormat="false" ht="15" hidden="false" customHeight="false" outlineLevel="0" collapsed="false">
      <c r="A62" s="3" t="s">
        <v>82</v>
      </c>
      <c r="B62" s="3" t="s">
        <v>36</v>
      </c>
      <c r="C62" s="5" t="n">
        <v>10.522</v>
      </c>
      <c r="D62" s="3" t="s">
        <v>138</v>
      </c>
      <c r="E62" s="11" t="s">
        <v>145</v>
      </c>
    </row>
    <row r="63" customFormat="false" ht="15" hidden="false" customHeight="false" outlineLevel="0" collapsed="false">
      <c r="A63" s="3" t="s">
        <v>82</v>
      </c>
      <c r="B63" s="3" t="s">
        <v>36</v>
      </c>
      <c r="C63" s="5" t="n">
        <v>27.676</v>
      </c>
      <c r="D63" s="10" t="s">
        <v>137</v>
      </c>
      <c r="E63" s="11" t="s">
        <v>84</v>
      </c>
    </row>
    <row r="64" customFormat="false" ht="15" hidden="false" customHeight="false" outlineLevel="0" collapsed="false">
      <c r="A64" s="3" t="s">
        <v>82</v>
      </c>
      <c r="B64" s="3" t="s">
        <v>36</v>
      </c>
      <c r="C64" s="5" t="n">
        <v>27.68</v>
      </c>
      <c r="D64" s="3" t="s">
        <v>142</v>
      </c>
      <c r="E64" s="11" t="s">
        <v>57</v>
      </c>
    </row>
    <row r="65" customFormat="false" ht="15" hidden="false" customHeight="false" outlineLevel="0" collapsed="false">
      <c r="A65" s="3" t="s">
        <v>82</v>
      </c>
      <c r="B65" s="3" t="s">
        <v>36</v>
      </c>
      <c r="C65" s="5" t="n">
        <v>27.725</v>
      </c>
      <c r="D65" s="3" t="s">
        <v>138</v>
      </c>
      <c r="E65" s="11" t="s">
        <v>146</v>
      </c>
    </row>
    <row r="66" customFormat="false" ht="15" hidden="false" customHeight="false" outlineLevel="0" collapsed="false">
      <c r="A66" s="3" t="s">
        <v>82</v>
      </c>
      <c r="B66" s="3" t="s">
        <v>36</v>
      </c>
      <c r="C66" s="5" t="n">
        <v>32.733</v>
      </c>
      <c r="D66" s="3" t="s">
        <v>138</v>
      </c>
      <c r="E66" s="11" t="s">
        <v>147</v>
      </c>
    </row>
    <row r="67" customFormat="false" ht="15" hidden="false" customHeight="false" outlineLevel="0" collapsed="false">
      <c r="A67" s="3" t="s">
        <v>82</v>
      </c>
      <c r="B67" s="3" t="s">
        <v>36</v>
      </c>
      <c r="C67" s="5" t="n">
        <v>42.64</v>
      </c>
      <c r="D67" s="10" t="s">
        <v>137</v>
      </c>
      <c r="E67" s="11" t="s">
        <v>170</v>
      </c>
    </row>
    <row r="68" customFormat="false" ht="15" hidden="false" customHeight="false" outlineLevel="0" collapsed="false">
      <c r="A68" s="3" t="s">
        <v>82</v>
      </c>
      <c r="B68" s="3" t="s">
        <v>36</v>
      </c>
      <c r="C68" s="5" t="n">
        <v>43.912</v>
      </c>
      <c r="D68" s="3" t="s">
        <v>142</v>
      </c>
      <c r="E68" s="11" t="s">
        <v>171</v>
      </c>
    </row>
    <row r="69" customFormat="false" ht="15" hidden="false" customHeight="false" outlineLevel="0" collapsed="false">
      <c r="A69" s="3" t="s">
        <v>82</v>
      </c>
      <c r="B69" s="3" t="s">
        <v>36</v>
      </c>
      <c r="C69" s="5" t="n">
        <v>43.958</v>
      </c>
      <c r="D69" s="3" t="s">
        <v>138</v>
      </c>
      <c r="E69" s="11" t="s">
        <v>150</v>
      </c>
    </row>
    <row r="70" customFormat="false" ht="15" hidden="false" customHeight="false" outlineLevel="0" collapsed="false">
      <c r="A70" s="3" t="s">
        <v>82</v>
      </c>
      <c r="B70" s="3" t="s">
        <v>36</v>
      </c>
      <c r="C70" s="5" t="n">
        <v>52.124</v>
      </c>
      <c r="D70" s="3" t="s">
        <v>138</v>
      </c>
      <c r="E70" s="11" t="s">
        <v>155</v>
      </c>
    </row>
    <row r="71" customFormat="false" ht="15" hidden="false" customHeight="false" outlineLevel="0" collapsed="false">
      <c r="A71" s="3" t="s">
        <v>88</v>
      </c>
      <c r="B71" s="3" t="s">
        <v>36</v>
      </c>
      <c r="C71" s="5" t="n">
        <v>8.278</v>
      </c>
      <c r="D71" s="10" t="s">
        <v>137</v>
      </c>
      <c r="E71" s="11" t="s">
        <v>89</v>
      </c>
    </row>
    <row r="72" customFormat="false" ht="15" hidden="false" customHeight="false" outlineLevel="0" collapsed="false">
      <c r="A72" s="3" t="s">
        <v>88</v>
      </c>
      <c r="B72" s="3" t="s">
        <v>36</v>
      </c>
      <c r="C72" s="5" t="n">
        <v>9.143</v>
      </c>
      <c r="D72" s="3" t="s">
        <v>138</v>
      </c>
      <c r="E72" s="11" t="s">
        <v>172</v>
      </c>
    </row>
    <row r="73" customFormat="false" ht="15" hidden="false" customHeight="false" outlineLevel="0" collapsed="false">
      <c r="A73" s="3" t="s">
        <v>91</v>
      </c>
      <c r="B73" s="3" t="s">
        <v>36</v>
      </c>
      <c r="C73" s="5" t="n">
        <v>5.201</v>
      </c>
      <c r="D73" s="10" t="s">
        <v>137</v>
      </c>
      <c r="E73" s="11" t="s">
        <v>92</v>
      </c>
    </row>
    <row r="74" customFormat="false" ht="15" hidden="false" customHeight="false" outlineLevel="0" collapsed="false">
      <c r="A74" s="3" t="s">
        <v>91</v>
      </c>
      <c r="B74" s="3" t="s">
        <v>36</v>
      </c>
      <c r="C74" s="5" t="n">
        <v>6.511</v>
      </c>
      <c r="D74" s="3" t="s">
        <v>138</v>
      </c>
      <c r="E74" s="11" t="s">
        <v>173</v>
      </c>
    </row>
    <row r="75" customFormat="false" ht="15" hidden="false" customHeight="false" outlineLevel="0" collapsed="false">
      <c r="A75" s="3" t="s">
        <v>91</v>
      </c>
      <c r="B75" s="3" t="s">
        <v>36</v>
      </c>
      <c r="C75" s="5" t="n">
        <v>12.929</v>
      </c>
      <c r="D75" s="3" t="s">
        <v>138</v>
      </c>
      <c r="E75" s="11" t="s">
        <v>174</v>
      </c>
    </row>
    <row r="76" customFormat="false" ht="15" hidden="false" customHeight="false" outlineLevel="0" collapsed="false">
      <c r="A76" s="3" t="s">
        <v>95</v>
      </c>
      <c r="B76" s="3" t="s">
        <v>36</v>
      </c>
      <c r="C76" s="5" t="n">
        <v>7.417</v>
      </c>
      <c r="D76" s="10" t="s">
        <v>137</v>
      </c>
      <c r="E76" s="11" t="s">
        <v>96</v>
      </c>
    </row>
    <row r="77" customFormat="false" ht="15" hidden="false" customHeight="false" outlineLevel="0" collapsed="false">
      <c r="A77" s="3" t="s">
        <v>95</v>
      </c>
      <c r="B77" s="3" t="s">
        <v>36</v>
      </c>
      <c r="C77" s="5" t="n">
        <v>8.653</v>
      </c>
      <c r="D77" s="3" t="s">
        <v>142</v>
      </c>
      <c r="E77" s="11" t="s">
        <v>175</v>
      </c>
    </row>
    <row r="78" customFormat="false" ht="15" hidden="false" customHeight="false" outlineLevel="0" collapsed="false">
      <c r="A78" s="3" t="s">
        <v>95</v>
      </c>
      <c r="B78" s="3" t="s">
        <v>36</v>
      </c>
      <c r="C78" s="5" t="n">
        <v>13.716</v>
      </c>
      <c r="D78" s="3" t="s">
        <v>138</v>
      </c>
      <c r="E78" s="11" t="s">
        <v>176</v>
      </c>
    </row>
    <row r="79" customFormat="false" ht="15" hidden="false" customHeight="false" outlineLevel="0" collapsed="false">
      <c r="A79" s="3" t="s">
        <v>95</v>
      </c>
      <c r="B79" s="3" t="s">
        <v>36</v>
      </c>
      <c r="C79" s="5" t="n">
        <v>20.358</v>
      </c>
      <c r="D79" s="3" t="s">
        <v>138</v>
      </c>
      <c r="E79" s="11" t="s">
        <v>177</v>
      </c>
    </row>
    <row r="80" customFormat="false" ht="15" hidden="false" customHeight="false" outlineLevel="0" collapsed="false">
      <c r="A80" s="3" t="s">
        <v>95</v>
      </c>
      <c r="B80" s="3" t="s">
        <v>36</v>
      </c>
      <c r="C80" s="5" t="n">
        <v>33.108</v>
      </c>
      <c r="D80" s="10" t="s">
        <v>137</v>
      </c>
      <c r="E80" s="11" t="s">
        <v>178</v>
      </c>
    </row>
    <row r="81" customFormat="false" ht="15" hidden="false" customHeight="false" outlineLevel="0" collapsed="false">
      <c r="A81" s="3" t="s">
        <v>95</v>
      </c>
      <c r="B81" s="3" t="s">
        <v>36</v>
      </c>
      <c r="C81" s="5" t="n">
        <v>33.114</v>
      </c>
      <c r="D81" s="3" t="s">
        <v>142</v>
      </c>
      <c r="E81" s="11" t="s">
        <v>153</v>
      </c>
    </row>
    <row r="82" customFormat="false" ht="15" hidden="false" customHeight="false" outlineLevel="0" collapsed="false">
      <c r="A82" s="3" t="s">
        <v>95</v>
      </c>
      <c r="B82" s="3" t="s">
        <v>36</v>
      </c>
      <c r="C82" s="5" t="n">
        <v>33.156</v>
      </c>
      <c r="D82" s="3" t="s">
        <v>138</v>
      </c>
      <c r="E82" s="11" t="s">
        <v>154</v>
      </c>
    </row>
    <row r="83" customFormat="false" ht="15" hidden="false" customHeight="false" outlineLevel="0" collapsed="false">
      <c r="A83" s="3" t="s">
        <v>95</v>
      </c>
      <c r="B83" s="3" t="s">
        <v>36</v>
      </c>
      <c r="C83" s="5" t="n">
        <v>34.585</v>
      </c>
      <c r="D83" s="10" t="s">
        <v>137</v>
      </c>
      <c r="E83" s="11" t="s">
        <v>179</v>
      </c>
    </row>
    <row r="84" customFormat="false" ht="15" hidden="false" customHeight="false" outlineLevel="0" collapsed="false">
      <c r="A84" s="3" t="s">
        <v>95</v>
      </c>
      <c r="B84" s="3" t="s">
        <v>36</v>
      </c>
      <c r="C84" s="5" t="n">
        <v>34.593</v>
      </c>
      <c r="D84" s="3" t="s">
        <v>142</v>
      </c>
      <c r="E84" s="11" t="s">
        <v>153</v>
      </c>
    </row>
    <row r="85" customFormat="false" ht="15" hidden="false" customHeight="false" outlineLevel="0" collapsed="false">
      <c r="A85" s="3" t="s">
        <v>95</v>
      </c>
      <c r="B85" s="3" t="s">
        <v>36</v>
      </c>
      <c r="C85" s="5" t="n">
        <v>39.724</v>
      </c>
      <c r="D85" s="3" t="s">
        <v>138</v>
      </c>
      <c r="E85" s="11" t="s">
        <v>180</v>
      </c>
    </row>
    <row r="86" customFormat="false" ht="15" hidden="false" customHeight="false" outlineLevel="0" collapsed="false">
      <c r="A86" s="3" t="s">
        <v>95</v>
      </c>
      <c r="B86" s="3" t="s">
        <v>36</v>
      </c>
      <c r="C86" s="5" t="n">
        <v>48.787</v>
      </c>
      <c r="D86" s="10" t="s">
        <v>137</v>
      </c>
      <c r="E86" s="11" t="s">
        <v>181</v>
      </c>
    </row>
    <row r="87" customFormat="false" ht="15" hidden="false" customHeight="false" outlineLevel="0" collapsed="false">
      <c r="A87" s="3" t="s">
        <v>95</v>
      </c>
      <c r="B87" s="3" t="s">
        <v>36</v>
      </c>
      <c r="C87" s="5" t="n">
        <v>48.792</v>
      </c>
      <c r="D87" s="3" t="s">
        <v>142</v>
      </c>
      <c r="E87" s="11" t="s">
        <v>149</v>
      </c>
    </row>
    <row r="88" customFormat="false" ht="15" hidden="false" customHeight="false" outlineLevel="0" collapsed="false">
      <c r="A88" s="3" t="s">
        <v>95</v>
      </c>
      <c r="B88" s="3" t="s">
        <v>36</v>
      </c>
      <c r="C88" s="5" t="n">
        <v>48.842</v>
      </c>
      <c r="D88" s="3" t="s">
        <v>138</v>
      </c>
      <c r="E88" s="11" t="s">
        <v>150</v>
      </c>
    </row>
    <row r="89" customFormat="false" ht="15" hidden="false" customHeight="false" outlineLevel="0" collapsed="false">
      <c r="A89" s="3" t="s">
        <v>95</v>
      </c>
      <c r="B89" s="3" t="s">
        <v>36</v>
      </c>
      <c r="C89" s="5" t="n">
        <v>52.916</v>
      </c>
      <c r="D89" s="3" t="s">
        <v>138</v>
      </c>
      <c r="E89" s="11" t="s">
        <v>182</v>
      </c>
    </row>
  </sheetData>
  <autoFilter ref="A1:E8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5"/>
    <col collapsed="false" customWidth="true" hidden="false" outlineLevel="0" max="4" min="4" style="0" width="11"/>
    <col collapsed="false" customWidth="true" hidden="false" outlineLevel="0" max="6" min="5" style="0" width="46"/>
    <col collapsed="false" customWidth="true" hidden="false" outlineLevel="0" max="7" min="7" style="0" width="22"/>
    <col collapsed="false" customWidth="true" hidden="false" outlineLevel="0" max="9" min="8" style="0" width="11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183</v>
      </c>
      <c r="D1" s="1" t="s">
        <v>184</v>
      </c>
      <c r="E1" s="1" t="s">
        <v>185</v>
      </c>
      <c r="F1" s="1" t="s">
        <v>186</v>
      </c>
      <c r="G1" s="1" t="s">
        <v>187</v>
      </c>
      <c r="H1" s="1" t="s">
        <v>188</v>
      </c>
      <c r="I1" s="1" t="s">
        <v>189</v>
      </c>
    </row>
    <row r="2" customFormat="false" ht="15" hidden="false" customHeight="false" outlineLevel="0" collapsed="false">
      <c r="A2" s="3" t="s">
        <v>53</v>
      </c>
      <c r="B2" s="3" t="s">
        <v>36</v>
      </c>
      <c r="C2" s="3" t="n">
        <v>1</v>
      </c>
      <c r="D2" s="5" t="n">
        <v>4.49531531333923</v>
      </c>
      <c r="E2" s="11" t="s">
        <v>62</v>
      </c>
      <c r="F2" s="11" t="s">
        <v>56</v>
      </c>
      <c r="G2" s="3" t="s">
        <v>190</v>
      </c>
      <c r="H2" s="3" t="s">
        <v>191</v>
      </c>
      <c r="I2" s="3"/>
    </row>
    <row r="3" customFormat="false" ht="15" hidden="false" customHeight="false" outlineLevel="0" collapsed="false">
      <c r="A3" s="3" t="s">
        <v>53</v>
      </c>
      <c r="B3" s="3" t="s">
        <v>36</v>
      </c>
      <c r="C3" s="3" t="n">
        <v>2</v>
      </c>
      <c r="D3" s="5" t="n">
        <v>20.8553152084351</v>
      </c>
      <c r="E3" s="11" t="s">
        <v>192</v>
      </c>
      <c r="F3" s="11" t="s">
        <v>84</v>
      </c>
      <c r="G3" s="3" t="s">
        <v>57</v>
      </c>
      <c r="H3" s="3" t="s">
        <v>193</v>
      </c>
      <c r="I3" s="3"/>
    </row>
    <row r="4" customFormat="false" ht="15" hidden="false" customHeight="false" outlineLevel="0" collapsed="false">
      <c r="A4" s="3" t="s">
        <v>53</v>
      </c>
      <c r="B4" s="3" t="s">
        <v>36</v>
      </c>
      <c r="C4" s="3" t="n">
        <v>3</v>
      </c>
      <c r="D4" s="5" t="n">
        <v>34.9433152675629</v>
      </c>
      <c r="E4" s="11" t="s">
        <v>194</v>
      </c>
      <c r="F4" s="11" t="s">
        <v>148</v>
      </c>
      <c r="G4" s="3" t="s">
        <v>149</v>
      </c>
      <c r="H4" s="3" t="s">
        <v>195</v>
      </c>
      <c r="I4" s="3"/>
    </row>
    <row r="5" customFormat="false" ht="15" hidden="false" customHeight="false" outlineLevel="0" collapsed="false">
      <c r="A5" s="3" t="s">
        <v>53</v>
      </c>
      <c r="B5" s="3" t="s">
        <v>36</v>
      </c>
      <c r="C5" s="3" t="n">
        <v>4</v>
      </c>
      <c r="D5" s="5" t="n">
        <v>43.9573152065277</v>
      </c>
      <c r="E5" s="11" t="s">
        <v>196</v>
      </c>
      <c r="F5" s="11" t="s">
        <v>152</v>
      </c>
      <c r="G5" s="3" t="s">
        <v>153</v>
      </c>
      <c r="H5" s="3" t="s">
        <v>197</v>
      </c>
      <c r="I5" s="3"/>
    </row>
    <row r="6" customFormat="false" ht="15" hidden="false" customHeight="false" outlineLevel="0" collapsed="false">
      <c r="A6" s="3" t="s">
        <v>66</v>
      </c>
      <c r="B6" s="3" t="s">
        <v>36</v>
      </c>
      <c r="C6" s="3" t="n">
        <v>1</v>
      </c>
      <c r="D6" s="5" t="n">
        <v>11.7049963474274</v>
      </c>
      <c r="E6" s="11" t="s">
        <v>80</v>
      </c>
      <c r="F6" s="11" t="s">
        <v>69</v>
      </c>
      <c r="G6" s="3" t="s">
        <v>190</v>
      </c>
      <c r="H6" s="3"/>
      <c r="I6" s="3" t="s">
        <v>58</v>
      </c>
    </row>
    <row r="7" customFormat="false" ht="15" hidden="false" customHeight="false" outlineLevel="0" collapsed="false">
      <c r="A7" s="3" t="s">
        <v>66</v>
      </c>
      <c r="B7" s="3" t="s">
        <v>36</v>
      </c>
      <c r="C7" s="3" t="n">
        <v>2</v>
      </c>
      <c r="D7" s="5" t="n">
        <v>21.5759961605072</v>
      </c>
      <c r="E7" s="11" t="s">
        <v>73</v>
      </c>
      <c r="F7" s="11" t="s">
        <v>158</v>
      </c>
      <c r="G7" s="3" t="s">
        <v>190</v>
      </c>
      <c r="H7" s="3" t="s">
        <v>198</v>
      </c>
      <c r="I7" s="3"/>
    </row>
    <row r="8" customFormat="false" ht="15" hidden="false" customHeight="false" outlineLevel="0" collapsed="false">
      <c r="A8" s="3" t="s">
        <v>66</v>
      </c>
      <c r="B8" s="3" t="s">
        <v>36</v>
      </c>
      <c r="C8" s="3" t="n">
        <v>3</v>
      </c>
      <c r="D8" s="5" t="n">
        <v>35.0689961910248</v>
      </c>
      <c r="E8" s="11" t="s">
        <v>199</v>
      </c>
      <c r="F8" s="11" t="s">
        <v>163</v>
      </c>
      <c r="G8" s="3" t="s">
        <v>71</v>
      </c>
      <c r="H8" s="3" t="s">
        <v>200</v>
      </c>
      <c r="I8" s="3"/>
    </row>
    <row r="9" customFormat="false" ht="15" hidden="false" customHeight="false" outlineLevel="0" collapsed="false">
      <c r="A9" s="3" t="s">
        <v>66</v>
      </c>
      <c r="B9" s="3" t="s">
        <v>36</v>
      </c>
      <c r="C9" s="3" t="n">
        <v>4</v>
      </c>
      <c r="D9" s="5" t="n">
        <v>47.2689962387085</v>
      </c>
      <c r="E9" s="11" t="s">
        <v>194</v>
      </c>
      <c r="F9" s="11" t="s">
        <v>166</v>
      </c>
      <c r="G9" s="3" t="s">
        <v>149</v>
      </c>
      <c r="H9" s="3" t="s">
        <v>201</v>
      </c>
      <c r="I9" s="3"/>
    </row>
    <row r="10" customFormat="false" ht="15" hidden="false" customHeight="false" outlineLevel="0" collapsed="false">
      <c r="A10" s="3" t="s">
        <v>66</v>
      </c>
      <c r="B10" s="3" t="s">
        <v>36</v>
      </c>
      <c r="C10" s="3" t="n">
        <v>5</v>
      </c>
      <c r="D10" s="5" t="n">
        <v>56.8929963111877</v>
      </c>
      <c r="E10" s="11" t="s">
        <v>196</v>
      </c>
      <c r="F10" s="11" t="s">
        <v>152</v>
      </c>
      <c r="G10" s="3" t="s">
        <v>153</v>
      </c>
      <c r="H10" s="3" t="s">
        <v>202</v>
      </c>
      <c r="I10" s="3"/>
    </row>
    <row r="11" customFormat="false" ht="15" hidden="false" customHeight="false" outlineLevel="0" collapsed="false">
      <c r="A11" s="3" t="s">
        <v>75</v>
      </c>
      <c r="B11" s="3" t="s">
        <v>36</v>
      </c>
      <c r="C11" s="3" t="n">
        <v>1</v>
      </c>
      <c r="D11" s="5" t="n">
        <v>4.32517600059509</v>
      </c>
      <c r="E11" s="11" t="s">
        <v>80</v>
      </c>
      <c r="F11" s="11" t="s">
        <v>69</v>
      </c>
      <c r="G11" s="3" t="s">
        <v>190</v>
      </c>
      <c r="H11" s="3" t="s">
        <v>203</v>
      </c>
      <c r="I11" s="3"/>
    </row>
    <row r="12" customFormat="false" ht="15" hidden="false" customHeight="false" outlineLevel="0" collapsed="false">
      <c r="A12" s="3" t="s">
        <v>75</v>
      </c>
      <c r="B12" s="3" t="s">
        <v>36</v>
      </c>
      <c r="C12" s="3" t="n">
        <v>2</v>
      </c>
      <c r="D12" s="5" t="n">
        <v>26.3891761302948</v>
      </c>
      <c r="E12" s="11" t="s">
        <v>192</v>
      </c>
      <c r="F12" s="11" t="s">
        <v>84</v>
      </c>
      <c r="G12" s="3" t="s">
        <v>57</v>
      </c>
      <c r="H12" s="3" t="s">
        <v>204</v>
      </c>
      <c r="I12" s="3"/>
    </row>
    <row r="13" customFormat="false" ht="15" hidden="false" customHeight="false" outlineLevel="0" collapsed="false">
      <c r="A13" s="3" t="s">
        <v>75</v>
      </c>
      <c r="B13" s="3" t="s">
        <v>36</v>
      </c>
      <c r="C13" s="3" t="n">
        <v>3</v>
      </c>
      <c r="D13" s="5" t="n">
        <v>40.2111759185791</v>
      </c>
      <c r="E13" s="11" t="s">
        <v>194</v>
      </c>
      <c r="F13" s="11" t="s">
        <v>168</v>
      </c>
      <c r="G13" s="3" t="s">
        <v>149</v>
      </c>
      <c r="H13" s="3" t="s">
        <v>205</v>
      </c>
      <c r="I13" s="3"/>
    </row>
    <row r="14" customFormat="false" ht="15" hidden="false" customHeight="false" outlineLevel="0" collapsed="false">
      <c r="A14" s="3" t="s">
        <v>75</v>
      </c>
      <c r="B14" s="3" t="s">
        <v>36</v>
      </c>
      <c r="C14" s="3" t="n">
        <v>4</v>
      </c>
      <c r="D14" s="5" t="n">
        <v>48.1921761035919</v>
      </c>
      <c r="E14" s="11" t="s">
        <v>196</v>
      </c>
      <c r="F14" s="11" t="s">
        <v>169</v>
      </c>
      <c r="G14" s="3" t="s">
        <v>153</v>
      </c>
      <c r="H14" s="3" t="s">
        <v>206</v>
      </c>
      <c r="I14" s="3"/>
    </row>
    <row r="15" customFormat="false" ht="15" hidden="false" customHeight="false" outlineLevel="0" collapsed="false">
      <c r="A15" s="3" t="s">
        <v>82</v>
      </c>
      <c r="B15" s="3" t="s">
        <v>36</v>
      </c>
      <c r="C15" s="3" t="n">
        <v>1</v>
      </c>
      <c r="D15" s="5" t="n">
        <v>-0.225819587707519</v>
      </c>
      <c r="E15" s="11" t="s">
        <v>62</v>
      </c>
      <c r="F15" s="11" t="s">
        <v>207</v>
      </c>
      <c r="G15" s="3" t="s">
        <v>190</v>
      </c>
      <c r="H15" s="3" t="s">
        <v>208</v>
      </c>
      <c r="I15" s="3"/>
    </row>
    <row r="16" customFormat="false" ht="15" hidden="false" customHeight="false" outlineLevel="0" collapsed="false">
      <c r="A16" s="3" t="s">
        <v>82</v>
      </c>
      <c r="B16" s="3" t="s">
        <v>36</v>
      </c>
      <c r="C16" s="3" t="n">
        <v>2</v>
      </c>
      <c r="D16" s="5" t="n">
        <v>27.6293661594391</v>
      </c>
      <c r="E16" s="11" t="s">
        <v>192</v>
      </c>
      <c r="F16" s="11" t="s">
        <v>84</v>
      </c>
      <c r="G16" s="3" t="s">
        <v>57</v>
      </c>
      <c r="H16" s="3" t="s">
        <v>209</v>
      </c>
      <c r="I16" s="3"/>
    </row>
    <row r="17" customFormat="false" ht="15" hidden="false" customHeight="false" outlineLevel="0" collapsed="false">
      <c r="A17" s="3" t="s">
        <v>82</v>
      </c>
      <c r="B17" s="3" t="s">
        <v>36</v>
      </c>
      <c r="C17" s="3" t="n">
        <v>3</v>
      </c>
      <c r="D17" s="5" t="n">
        <v>43.8613660335541</v>
      </c>
      <c r="E17" s="11" t="s">
        <v>194</v>
      </c>
      <c r="F17" s="11" t="s">
        <v>170</v>
      </c>
      <c r="G17" s="3" t="s">
        <v>149</v>
      </c>
      <c r="H17" s="3" t="s">
        <v>210</v>
      </c>
      <c r="I17" s="3"/>
    </row>
    <row r="18" customFormat="false" ht="15" hidden="false" customHeight="false" outlineLevel="0" collapsed="false">
      <c r="A18" s="3" t="s">
        <v>95</v>
      </c>
      <c r="B18" s="3" t="s">
        <v>36</v>
      </c>
      <c r="C18" s="3" t="n">
        <v>1</v>
      </c>
      <c r="D18" s="5" t="n">
        <v>8.60157752037048</v>
      </c>
      <c r="E18" s="11" t="s">
        <v>101</v>
      </c>
      <c r="F18" s="11" t="s">
        <v>96</v>
      </c>
      <c r="G18" s="3" t="s">
        <v>190</v>
      </c>
      <c r="H18" s="3" t="s">
        <v>211</v>
      </c>
      <c r="I18" s="3"/>
    </row>
    <row r="19" customFormat="false" ht="15" hidden="false" customHeight="false" outlineLevel="0" collapsed="false">
      <c r="A19" s="3" t="s">
        <v>95</v>
      </c>
      <c r="B19" s="3" t="s">
        <v>36</v>
      </c>
      <c r="C19" s="3" t="n">
        <v>2</v>
      </c>
      <c r="D19" s="5" t="n">
        <v>33.0625774860382</v>
      </c>
      <c r="E19" s="11" t="s">
        <v>196</v>
      </c>
      <c r="F19" s="11" t="s">
        <v>178</v>
      </c>
      <c r="G19" s="3" t="s">
        <v>153</v>
      </c>
      <c r="H19" s="3" t="s">
        <v>212</v>
      </c>
      <c r="I19" s="3"/>
    </row>
    <row r="20" customFormat="false" ht="15" hidden="false" customHeight="false" outlineLevel="0" collapsed="false">
      <c r="A20" s="3" t="s">
        <v>95</v>
      </c>
      <c r="B20" s="3" t="s">
        <v>36</v>
      </c>
      <c r="C20" s="3" t="n">
        <v>3</v>
      </c>
      <c r="D20" s="5" t="n">
        <v>34.5415775775909</v>
      </c>
      <c r="E20" s="11" t="s">
        <v>196</v>
      </c>
      <c r="F20" s="11" t="s">
        <v>179</v>
      </c>
      <c r="G20" s="3" t="s">
        <v>153</v>
      </c>
      <c r="H20" s="3" t="s">
        <v>213</v>
      </c>
      <c r="I20" s="3"/>
    </row>
    <row r="21" customFormat="false" ht="15" hidden="false" customHeight="false" outlineLevel="0" collapsed="false">
      <c r="A21" s="3" t="s">
        <v>95</v>
      </c>
      <c r="B21" s="3" t="s">
        <v>36</v>
      </c>
      <c r="C21" s="3" t="n">
        <v>4</v>
      </c>
      <c r="D21" s="5" t="n">
        <v>48.7405774593353</v>
      </c>
      <c r="E21" s="11" t="s">
        <v>194</v>
      </c>
      <c r="F21" s="11" t="s">
        <v>181</v>
      </c>
      <c r="G21" s="3" t="s">
        <v>149</v>
      </c>
      <c r="H21" s="3" t="s">
        <v>214</v>
      </c>
      <c r="I21" s="3"/>
    </row>
  </sheetData>
  <autoFilter ref="A1:I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3"/>
  </cols>
  <sheetData>
    <row r="1" customFormat="false" ht="15" hidden="false" customHeight="false" outlineLevel="0" collapsed="false">
      <c r="A1" s="12" t="s">
        <v>215</v>
      </c>
    </row>
    <row r="2" customFormat="false" ht="15" hidden="false" customHeight="false" outlineLevel="0" collapsed="false">
      <c r="A2" s="13" t="s">
        <v>216</v>
      </c>
    </row>
    <row r="4" customFormat="false" ht="42" hidden="false" customHeight="true" outlineLevel="0" collapsed="false">
      <c r="A4" s="1" t="s">
        <v>4</v>
      </c>
      <c r="B4" s="1" t="s">
        <v>5</v>
      </c>
      <c r="C4" s="1" t="s">
        <v>217</v>
      </c>
      <c r="D4" s="1" t="s">
        <v>218</v>
      </c>
      <c r="E4" s="1" t="s">
        <v>219</v>
      </c>
      <c r="F4" s="1" t="s">
        <v>220</v>
      </c>
      <c r="G4" s="1" t="s">
        <v>221</v>
      </c>
      <c r="H4" s="1" t="s">
        <v>222</v>
      </c>
      <c r="I4" s="1" t="s">
        <v>223</v>
      </c>
      <c r="J4" s="1" t="s">
        <v>224</v>
      </c>
      <c r="K4" s="1" t="s">
        <v>225</v>
      </c>
    </row>
    <row r="5" customFormat="false" ht="15" hidden="false" customHeight="false" outlineLevel="0" collapsed="false">
      <c r="A5" s="3" t="s">
        <v>38</v>
      </c>
      <c r="B5" s="3" t="s">
        <v>226</v>
      </c>
      <c r="C5" s="3" t="n">
        <f aca="false">COUNTIFS(Experiments!$E$2:$E$10,$A5)</f>
        <v>2</v>
      </c>
      <c r="D5" s="3" t="n">
        <f aca="false">COUNTIFS(Experiments!$E$2:$E$10,$A5,Experiments!$Q$2:$Q$10,"yes")</f>
        <v>0</v>
      </c>
      <c r="E5" s="3" t="n">
        <f aca="false">COUNTIFS(Experiments!$E$2:$E$10,$A5,Experiments!$Q$2:$Q$10,"no")</f>
        <v>0</v>
      </c>
      <c r="F5" s="14" t="str">
        <f aca="false">IF(D5+E5=0,"",D5/(D5+E5))</f>
        <v/>
      </c>
      <c r="G5" s="3" t="n">
        <f aca="false">COUNTIFS(Experiments!$E$2:$E$10,$A5,Experiments!$O$2:$O$10,"yes")</f>
        <v>0</v>
      </c>
      <c r="H5" s="5" t="str">
        <f aca="false">IF(COUNTIFS(Experiments!$E$2:$E$10,$A5,Experiments!$R$2:$R$10,"&lt;&gt;")=0,"",AVERAGEIFS(Experiments!$R$2:$R$10,Experiments!$E$2:$E$10,$A5))</f>
        <v/>
      </c>
      <c r="I5" s="5" t="str">
        <f aca="false">IF(COUNTIFS(Experiments!$E$2:$E$10,$A5,Experiments!$S$2:$S$10,"&lt;&gt;")=0,"",AVERAGEIFS(Experiments!$S$2:$S$10,Experiments!$E$2:$E$10,$A5))</f>
        <v/>
      </c>
      <c r="J5" s="5" t="str">
        <f aca="false">IF(COUNTIFS(Experiments!$E$2:$E$10,$A5,Experiments!$AC$2:$AC$10,"&lt;&gt;")=0,"",AVERAGEIFS(Experiments!$AC$2:$AC$10,Experiments!$E$2:$E$10,$A5))</f>
        <v/>
      </c>
      <c r="K5" s="5" t="str">
        <f aca="false">IF(COUNTIFS(Experiments!$E$2:$E$10,$A5,Experiments!$AB$2:$AB$10,"&lt;&gt;")=0,"",AVERAGEIFS(Experiments!$AB$2:$AB$10,Experiments!$E$2:$E$10,$A5))</f>
        <v/>
      </c>
    </row>
    <row r="6" customFormat="false" ht="15" hidden="false" customHeight="false" outlineLevel="0" collapsed="false">
      <c r="A6" s="3" t="s">
        <v>47</v>
      </c>
      <c r="B6" s="3" t="s">
        <v>227</v>
      </c>
      <c r="C6" s="3" t="n">
        <f aca="false">COUNTIFS(Experiments!$E$2:$E$10,$A6)</f>
        <v>2</v>
      </c>
      <c r="D6" s="3" t="n">
        <f aca="false">COUNTIFS(Experiments!$E$2:$E$10,$A6,Experiments!$Q$2:$Q$10,"yes")</f>
        <v>0</v>
      </c>
      <c r="E6" s="3" t="n">
        <f aca="false">COUNTIFS(Experiments!$E$2:$E$10,$A6,Experiments!$Q$2:$Q$10,"no")</f>
        <v>0</v>
      </c>
      <c r="F6" s="14" t="str">
        <f aca="false">IF(D6+E6=0,"",D6/(D6+E6))</f>
        <v/>
      </c>
      <c r="G6" s="3" t="n">
        <f aca="false">COUNTIFS(Experiments!$E$2:$E$10,$A6,Experiments!$O$2:$O$10,"yes")</f>
        <v>0</v>
      </c>
      <c r="H6" s="5" t="str">
        <f aca="false">IF(COUNTIFS(Experiments!$E$2:$E$10,$A6,Experiments!$R$2:$R$10,"&lt;&gt;")=0,"",AVERAGEIFS(Experiments!$R$2:$R$10,Experiments!$E$2:$E$10,$A6))</f>
        <v/>
      </c>
      <c r="I6" s="5" t="str">
        <f aca="false">IF(COUNTIFS(Experiments!$E$2:$E$10,$A6,Experiments!$S$2:$S$10,"&lt;&gt;")=0,"",AVERAGEIFS(Experiments!$S$2:$S$10,Experiments!$E$2:$E$10,$A6))</f>
        <v/>
      </c>
      <c r="J6" s="5" t="str">
        <f aca="false">IF(COUNTIFS(Experiments!$E$2:$E$10,$A6,Experiments!$AC$2:$AC$10,"&lt;&gt;")=0,"",AVERAGEIFS(Experiments!$AC$2:$AC$10,Experiments!$E$2:$E$10,$A6))</f>
        <v/>
      </c>
      <c r="K6" s="5" t="str">
        <f aca="false">IF(COUNTIFS(Experiments!$E$2:$E$10,$A6,Experiments!$AB$2:$AB$10,"&lt;&gt;")=0,"",AVERAGEIFS(Experiments!$AB$2:$AB$10,Experiments!$E$2:$E$10,$A6))</f>
        <v/>
      </c>
    </row>
    <row r="7" customFormat="false" ht="15" hidden="false" customHeight="false" outlineLevel="0" collapsed="false">
      <c r="A7" s="3" t="s">
        <v>54</v>
      </c>
      <c r="B7" s="3" t="s">
        <v>228</v>
      </c>
      <c r="C7" s="3" t="n">
        <f aca="false">COUNTIFS(Experiments!$E$2:$E$10,$A7)</f>
        <v>2</v>
      </c>
      <c r="D7" s="3" t="n">
        <f aca="false">COUNTIFS(Experiments!$E$2:$E$10,$A7,Experiments!$Q$2:$Q$10,"yes")</f>
        <v>1</v>
      </c>
      <c r="E7" s="3" t="n">
        <f aca="false">COUNTIFS(Experiments!$E$2:$E$10,$A7,Experiments!$Q$2:$Q$10,"no")</f>
        <v>0</v>
      </c>
      <c r="F7" s="14" t="n">
        <f aca="false">IF(D7+E7=0,"",D7/(D7+E7))</f>
        <v>1</v>
      </c>
      <c r="G7" s="3" t="n">
        <f aca="false">COUNTIFS(Experiments!$E$2:$E$10,$A7,Experiments!$O$2:$O$10,"yes")</f>
        <v>1</v>
      </c>
      <c r="H7" s="5" t="n">
        <f aca="false">IF(COUNTIFS(Experiments!$E$2:$E$10,$A7,Experiments!$R$2:$R$10,"&lt;&gt;")=0,"",AVERAGEIFS(Experiments!$R$2:$R$10,Experiments!$E$2:$E$10,$A7))</f>
        <v>7.326</v>
      </c>
      <c r="I7" s="5" t="n">
        <f aca="false">IF(COUNTIFS(Experiments!$E$2:$E$10,$A7,Experiments!$S$2:$S$10,"&lt;&gt;")=0,"",AVERAGEIFS(Experiments!$S$2:$S$10,Experiments!$E$2:$E$10,$A7))</f>
        <v>45.284</v>
      </c>
      <c r="J7" s="5" t="n">
        <f aca="false">IF(COUNTIFS(Experiments!$E$2:$E$10,$A7,Experiments!$AC$2:$AC$10,"&lt;&gt;")=0,"",AVERAGEIFS(Experiments!$AC$2:$AC$10,Experiments!$E$2:$E$10,$A7))</f>
        <v>23.8025</v>
      </c>
      <c r="K7" s="5" t="n">
        <f aca="false">IF(COUNTIFS(Experiments!$E$2:$E$10,$A7,Experiments!$AB$2:$AB$10,"&lt;&gt;")=0,"",AVERAGEIFS(Experiments!$AB$2:$AB$10,Experiments!$E$2:$E$10,$A7))</f>
        <v>21.4815</v>
      </c>
    </row>
    <row r="8" customFormat="false" ht="15" hidden="false" customHeight="false" outlineLevel="0" collapsed="false">
      <c r="A8" s="3" t="s">
        <v>67</v>
      </c>
      <c r="B8" s="3" t="s">
        <v>229</v>
      </c>
      <c r="C8" s="3" t="n">
        <f aca="false">COUNTIFS(Experiments!$E$2:$E$10,$A8)</f>
        <v>1</v>
      </c>
      <c r="D8" s="3" t="n">
        <f aca="false">COUNTIFS(Experiments!$E$2:$E$10,$A8,Experiments!$Q$2:$Q$10,"yes")</f>
        <v>1</v>
      </c>
      <c r="E8" s="3" t="n">
        <f aca="false">COUNTIFS(Experiments!$E$2:$E$10,$A8,Experiments!$Q$2:$Q$10,"no")</f>
        <v>0</v>
      </c>
      <c r="F8" s="14" t="n">
        <f aca="false">IF(D8+E8=0,"",D8/(D8+E8))</f>
        <v>1</v>
      </c>
      <c r="G8" s="3" t="n">
        <f aca="false">COUNTIFS(Experiments!$E$2:$E$10,$A8,Experiments!$O$2:$O$10,"yes")</f>
        <v>1</v>
      </c>
      <c r="H8" s="5" t="n">
        <f aca="false">IF(COUNTIFS(Experiments!$E$2:$E$10,$A8,Experiments!$R$2:$R$10,"&lt;&gt;")=0,"",AVERAGEIFS(Experiments!$R$2:$R$10,Experiments!$E$2:$E$10,$A8))</f>
        <v>11.901</v>
      </c>
      <c r="I8" s="5" t="n">
        <f aca="false">IF(COUNTIFS(Experiments!$E$2:$E$10,$A8,Experiments!$S$2:$S$10,"&lt;&gt;")=0,"",AVERAGEIFS(Experiments!$S$2:$S$10,Experiments!$E$2:$E$10,$A8))</f>
        <v>49.555</v>
      </c>
      <c r="J8" s="5" t="n">
        <f aca="false">IF(COUNTIFS(Experiments!$E$2:$E$10,$A8,Experiments!$AC$2:$AC$10,"&lt;&gt;")=0,"",AVERAGEIFS(Experiments!$AC$2:$AC$10,Experiments!$E$2:$E$10,$A8))</f>
        <v>26.957</v>
      </c>
      <c r="K8" s="5" t="n">
        <f aca="false">IF(COUNTIFS(Experiments!$E$2:$E$10,$A8,Experiments!$AB$2:$AB$10,"&lt;&gt;")=0,"",AVERAGEIFS(Experiments!$AB$2:$AB$10,Experiments!$E$2:$E$10,$A8))</f>
        <v>22.598</v>
      </c>
    </row>
    <row r="9" customFormat="false" ht="15" hidden="false" customHeight="false" outlineLevel="0" collapsed="false">
      <c r="A9" s="3" t="s">
        <v>76</v>
      </c>
      <c r="B9" s="3" t="s">
        <v>230</v>
      </c>
      <c r="C9" s="3" t="n">
        <f aca="false">COUNTIFS(Experiments!$E$2:$E$10,$A9)</f>
        <v>2</v>
      </c>
      <c r="D9" s="3" t="n">
        <f aca="false">COUNTIFS(Experiments!$E$2:$E$10,$A9,Experiments!$Q$2:$Q$10,"yes")</f>
        <v>2</v>
      </c>
      <c r="E9" s="3" t="n">
        <f aca="false">COUNTIFS(Experiments!$E$2:$E$10,$A9,Experiments!$Q$2:$Q$10,"no")</f>
        <v>0</v>
      </c>
      <c r="F9" s="14" t="n">
        <f aca="false">IF(D9+E9=0,"",D9/(D9+E9))</f>
        <v>1</v>
      </c>
      <c r="G9" s="3" t="n">
        <f aca="false">COUNTIFS(Experiments!$E$2:$E$10,$A9,Experiments!$O$2:$O$10,"yes")</f>
        <v>2</v>
      </c>
      <c r="H9" s="5" t="n">
        <f aca="false">IF(COUNTIFS(Experiments!$E$2:$E$10,$A9,Experiments!$R$2:$R$10,"&lt;&gt;")=0,"",AVERAGEIFS(Experiments!$R$2:$R$10,Experiments!$E$2:$E$10,$A9))</f>
        <v>5.4075</v>
      </c>
      <c r="I9" s="5" t="n">
        <f aca="false">IF(COUNTIFS(Experiments!$E$2:$E$10,$A9,Experiments!$S$2:$S$10,"&lt;&gt;")=0,"",AVERAGEIFS(Experiments!$S$2:$S$10,Experiments!$E$2:$E$10,$A9))</f>
        <v>48.2555</v>
      </c>
      <c r="J9" s="5" t="n">
        <f aca="false">IF(COUNTIFS(Experiments!$E$2:$E$10,$A9,Experiments!$AC$2:$AC$10,"&lt;&gt;")=0,"",AVERAGEIFS(Experiments!$AC$2:$AC$10,Experiments!$E$2:$E$10,$A9))</f>
        <v>24.1115</v>
      </c>
      <c r="K9" s="5" t="n">
        <f aca="false">IF(COUNTIFS(Experiments!$E$2:$E$10,$A9,Experiments!$AB$2:$AB$10,"&lt;&gt;")=0,"",AVERAGEIFS(Experiments!$AB$2:$AB$10,Experiments!$E$2:$E$10,$A9))</f>
        <v>24.144</v>
      </c>
    </row>
    <row r="10" customFormat="false" ht="15" hidden="false" customHeight="false" outlineLevel="0" collapsed="false">
      <c r="A10" s="3" t="s">
        <v>231</v>
      </c>
      <c r="B10" s="3" t="s">
        <v>232</v>
      </c>
      <c r="C10" s="3" t="n">
        <f aca="false">COUNTIFS(Experiments!$E$2:$E$10,$A10)</f>
        <v>0</v>
      </c>
      <c r="D10" s="3" t="n">
        <f aca="false">COUNTIFS(Experiments!$E$2:$E$10,$A10,Experiments!$Q$2:$Q$10,"yes")</f>
        <v>0</v>
      </c>
      <c r="E10" s="3" t="n">
        <f aca="false">COUNTIFS(Experiments!$E$2:$E$10,$A10,Experiments!$Q$2:$Q$10,"no")</f>
        <v>0</v>
      </c>
      <c r="F10" s="14" t="str">
        <f aca="false">IF(D10+E10=0,"",D10/(D10+E10))</f>
        <v/>
      </c>
      <c r="G10" s="3" t="n">
        <f aca="false">COUNTIFS(Experiments!$E$2:$E$10,$A10,Experiments!$O$2:$O$10,"yes")</f>
        <v>0</v>
      </c>
      <c r="H10" s="5" t="str">
        <f aca="false">IF(COUNTIFS(Experiments!$E$2:$E$10,$A10,Experiments!$R$2:$R$10,"&lt;&gt;")=0,"",AVERAGEIFS(Experiments!$R$2:$R$10,Experiments!$E$2:$E$10,$A10))</f>
        <v/>
      </c>
      <c r="I10" s="5" t="str">
        <f aca="false">IF(COUNTIFS(Experiments!$E$2:$E$10,$A10,Experiments!$S$2:$S$10,"&lt;&gt;")=0,"",AVERAGEIFS(Experiments!$S$2:$S$10,Experiments!$E$2:$E$10,$A10))</f>
        <v/>
      </c>
      <c r="J10" s="5" t="str">
        <f aca="false">IF(COUNTIFS(Experiments!$E$2:$E$10,$A10,Experiments!$AC$2:$AC$10,"&lt;&gt;")=0,"",AVERAGEIFS(Experiments!$AC$2:$AC$10,Experiments!$E$2:$E$10,$A10))</f>
        <v/>
      </c>
      <c r="K10" s="5" t="str">
        <f aca="false">IF(COUNTIFS(Experiments!$E$2:$E$10,$A10,Experiments!$AB$2:$AB$10,"&lt;&gt;")=0,"",AVERAGEIFS(Experiments!$AB$2:$AB$10,Experiments!$E$2:$E$10,$A10))</f>
        <v/>
      </c>
    </row>
    <row r="11" customFormat="false" ht="15" hidden="false" customHeight="false" outlineLevel="0" collapsed="false">
      <c r="A11" s="3" t="s">
        <v>233</v>
      </c>
      <c r="B11" s="3" t="s">
        <v>234</v>
      </c>
      <c r="C11" s="3" t="n">
        <f aca="false">COUNTIFS(Experiments!$E$2:$E$10,$A11)</f>
        <v>0</v>
      </c>
      <c r="D11" s="3" t="n">
        <f aca="false">COUNTIFS(Experiments!$E$2:$E$10,$A11,Experiments!$Q$2:$Q$10,"yes")</f>
        <v>0</v>
      </c>
      <c r="E11" s="3" t="n">
        <f aca="false">COUNTIFS(Experiments!$E$2:$E$10,$A11,Experiments!$Q$2:$Q$10,"no")</f>
        <v>0</v>
      </c>
      <c r="F11" s="14" t="str">
        <f aca="false">IF(D11+E11=0,"",D11/(D11+E11))</f>
        <v/>
      </c>
      <c r="G11" s="3" t="n">
        <f aca="false">COUNTIFS(Experiments!$E$2:$E$10,$A11,Experiments!$O$2:$O$10,"yes")</f>
        <v>0</v>
      </c>
      <c r="H11" s="5" t="str">
        <f aca="false">IF(COUNTIFS(Experiments!$E$2:$E$10,$A11,Experiments!$R$2:$R$10,"&lt;&gt;")=0,"",AVERAGEIFS(Experiments!$R$2:$R$10,Experiments!$E$2:$E$10,$A11))</f>
        <v/>
      </c>
      <c r="I11" s="5" t="str">
        <f aca="false">IF(COUNTIFS(Experiments!$E$2:$E$10,$A11,Experiments!$S$2:$S$10,"&lt;&gt;")=0,"",AVERAGEIFS(Experiments!$S$2:$S$10,Experiments!$E$2:$E$10,$A11))</f>
        <v/>
      </c>
      <c r="J11" s="5" t="str">
        <f aca="false">IF(COUNTIFS(Experiments!$E$2:$E$10,$A11,Experiments!$AC$2:$AC$10,"&lt;&gt;")=0,"",AVERAGEIFS(Experiments!$AC$2:$AC$10,Experiments!$E$2:$E$10,$A11))</f>
        <v/>
      </c>
      <c r="K11" s="5" t="str">
        <f aca="false">IF(COUNTIFS(Experiments!$E$2:$E$10,$A11,Experiments!$AB$2:$AB$10,"&lt;&gt;")=0,"",AVERAGEIFS(Experiments!$AB$2:$AB$10,Experiments!$E$2:$E$10,$A11))</f>
        <v/>
      </c>
    </row>
    <row r="12" customFormat="false" ht="15" hidden="false" customHeight="false" outlineLevel="0" collapsed="false">
      <c r="A12" s="10" t="s">
        <v>235</v>
      </c>
      <c r="B12" s="10"/>
      <c r="C12" s="10" t="n">
        <f aca="false">SUM(C5:C11)</f>
        <v>9</v>
      </c>
      <c r="D12" s="10" t="n">
        <f aca="false">SUM(D5:D11)</f>
        <v>4</v>
      </c>
      <c r="E12" s="10" t="n">
        <f aca="false">SUM(E5:E11)</f>
        <v>0</v>
      </c>
      <c r="F12" s="15" t="n">
        <f aca="false">IF(D12+E12=0,"",D12/(D12+E12))</f>
        <v>1</v>
      </c>
      <c r="G12" s="10" t="n">
        <f aca="false">SUM(G5:G11)</f>
        <v>4</v>
      </c>
      <c r="H12" s="16" t="n">
        <f aca="false">IF(COUNT(Experiments!$R$2:$R$10)=0,"",AVERAGE(Experiments!$R$2:$R$10))</f>
        <v>7.4736</v>
      </c>
      <c r="I12" s="16" t="n">
        <f aca="false">IF(COUNT(Experiments!$S$2:$S$10)=0,"",AVERAGE(Experiments!$S$2:$S$10))</f>
        <v>47.3268</v>
      </c>
      <c r="J12" s="16" t="n">
        <f aca="false">IF(COUNT(Experiments!$AC$2:$AC$10)=0,"",AVERAGE(Experiments!$AC$2:$AC$10))</f>
        <v>24.557</v>
      </c>
      <c r="K12" s="16" t="n">
        <f aca="false">IF(COUNT(Experiments!$AB$2:$AB$10)=0,"",AVERAGE(Experiments!$AB$2:$AB$10))</f>
        <v>22.7698</v>
      </c>
    </row>
    <row r="14" customFormat="false" ht="15" hidden="false" customHeight="false" outlineLevel="0" collapsed="false">
      <c r="A14" s="17" t="s">
        <v>236</v>
      </c>
    </row>
    <row r="15" customFormat="false" ht="15" hidden="false" customHeight="false" outlineLevel="0" collapsed="false">
      <c r="A15" s="18" t="s">
        <v>4</v>
      </c>
      <c r="B15" s="18" t="s">
        <v>37</v>
      </c>
    </row>
    <row r="16" customFormat="false" ht="15" hidden="false" customHeight="false" outlineLevel="0" collapsed="false">
      <c r="A16" s="8" t="s">
        <v>38</v>
      </c>
      <c r="B16" s="8" t="n">
        <f aca="false">COUNTIFS(Experiments!$E$2:$E$10,$A16,Experiments!$D$2:$D$10,"Layout A")</f>
        <v>2</v>
      </c>
    </row>
    <row r="17" customFormat="false" ht="15" hidden="false" customHeight="false" outlineLevel="0" collapsed="false">
      <c r="A17" s="8" t="s">
        <v>47</v>
      </c>
      <c r="B17" s="8" t="n">
        <f aca="false">COUNTIFS(Experiments!$E$2:$E$10,$A17,Experiments!$D$2:$D$10,"Layout A")</f>
        <v>2</v>
      </c>
    </row>
    <row r="18" customFormat="false" ht="15" hidden="false" customHeight="false" outlineLevel="0" collapsed="false">
      <c r="A18" s="8" t="s">
        <v>54</v>
      </c>
      <c r="B18" s="8" t="n">
        <f aca="false">COUNTIFS(Experiments!$E$2:$E$10,$A18,Experiments!$D$2:$D$10,"Layout A")</f>
        <v>2</v>
      </c>
    </row>
    <row r="19" customFormat="false" ht="15" hidden="false" customHeight="false" outlineLevel="0" collapsed="false">
      <c r="A19" s="8" t="s">
        <v>67</v>
      </c>
      <c r="B19" s="8" t="n">
        <f aca="false">COUNTIFS(Experiments!$E$2:$E$10,$A19,Experiments!$D$2:$D$10,"Layout A")</f>
        <v>1</v>
      </c>
    </row>
    <row r="20" customFormat="false" ht="15" hidden="false" customHeight="false" outlineLevel="0" collapsed="false">
      <c r="A20" s="8" t="s">
        <v>76</v>
      </c>
      <c r="B20" s="8" t="n">
        <f aca="false">COUNTIFS(Experiments!$E$2:$E$10,$A20,Experiments!$D$2:$D$10,"Layout A")</f>
        <v>2</v>
      </c>
    </row>
    <row r="21" customFormat="false" ht="15" hidden="false" customHeight="false" outlineLevel="0" collapsed="false">
      <c r="A21" s="8" t="s">
        <v>231</v>
      </c>
      <c r="B21" s="8" t="n">
        <f aca="false">COUNTIFS(Experiments!$E$2:$E$10,$A21,Experiments!$D$2:$D$10,"Layout A")</f>
        <v>0</v>
      </c>
    </row>
    <row r="22" customFormat="false" ht="15" hidden="false" customHeight="false" outlineLevel="0" collapsed="false">
      <c r="A22" s="8" t="s">
        <v>233</v>
      </c>
      <c r="B22" s="8" t="n">
        <f aca="false">COUNTIFS(Experiments!$E$2:$E$10,$A22,Experiments!$D$2:$D$10,"Layout A")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0"/>
  </cols>
  <sheetData>
    <row r="1" customFormat="false" ht="42" hidden="false" customHeight="true" outlineLevel="0" collapsed="false">
      <c r="A1" s="1" t="s">
        <v>237</v>
      </c>
      <c r="B1" s="1" t="s">
        <v>238</v>
      </c>
    </row>
    <row r="2" customFormat="false" ht="15" hidden="false" customHeight="false" outlineLevel="0" collapsed="false">
      <c r="A2" s="17" t="s">
        <v>239</v>
      </c>
      <c r="B2" s="11" t="s">
        <v>240</v>
      </c>
    </row>
    <row r="3" customFormat="false" ht="15" hidden="false" customHeight="false" outlineLevel="0" collapsed="false">
      <c r="A3" s="17" t="s">
        <v>17</v>
      </c>
      <c r="B3" s="11" t="s">
        <v>241</v>
      </c>
    </row>
    <row r="4" customFormat="false" ht="15" hidden="false" customHeight="false" outlineLevel="0" collapsed="false">
      <c r="A4" s="17" t="s">
        <v>18</v>
      </c>
      <c r="B4" s="11" t="s">
        <v>242</v>
      </c>
    </row>
    <row r="5" customFormat="false" ht="15" hidden="false" customHeight="false" outlineLevel="0" collapsed="false">
      <c r="A5" s="17" t="s">
        <v>20</v>
      </c>
      <c r="B5" s="11" t="s">
        <v>243</v>
      </c>
    </row>
    <row r="6" customFormat="false" ht="15" hidden="false" customHeight="false" outlineLevel="0" collapsed="false">
      <c r="A6" s="17" t="s">
        <v>112</v>
      </c>
      <c r="B6" s="11" t="s">
        <v>244</v>
      </c>
    </row>
    <row r="7" customFormat="false" ht="15" hidden="false" customHeight="false" outlineLevel="0" collapsed="false">
      <c r="A7" s="17" t="s">
        <v>113</v>
      </c>
      <c r="B7" s="11" t="s">
        <v>245</v>
      </c>
    </row>
    <row r="8" customFormat="false" ht="15" hidden="false" customHeight="false" outlineLevel="0" collapsed="false">
      <c r="A8" s="17" t="s">
        <v>114</v>
      </c>
      <c r="B8" s="11" t="s">
        <v>246</v>
      </c>
    </row>
    <row r="9" customFormat="false" ht="15" hidden="false" customHeight="false" outlineLevel="0" collapsed="false">
      <c r="A9" s="17" t="s">
        <v>21</v>
      </c>
      <c r="B9" s="11" t="s">
        <v>247</v>
      </c>
    </row>
    <row r="10" customFormat="false" ht="15" hidden="false" customHeight="false" outlineLevel="0" collapsed="false">
      <c r="A10" s="17" t="s">
        <v>115</v>
      </c>
      <c r="B10" s="11" t="s">
        <v>248</v>
      </c>
    </row>
    <row r="11" customFormat="false" ht="15" hidden="false" customHeight="false" outlineLevel="0" collapsed="false">
      <c r="A11" s="17" t="s">
        <v>116</v>
      </c>
      <c r="B11" s="11" t="s">
        <v>249</v>
      </c>
    </row>
    <row r="12" customFormat="false" ht="15" hidden="false" customHeight="false" outlineLevel="0" collapsed="false">
      <c r="A12" s="17" t="s">
        <v>22</v>
      </c>
      <c r="B12" s="11" t="s">
        <v>250</v>
      </c>
    </row>
    <row r="13" customFormat="false" ht="15" hidden="false" customHeight="false" outlineLevel="0" collapsed="false">
      <c r="A13" s="17" t="s">
        <v>117</v>
      </c>
      <c r="B13" s="11" t="s">
        <v>251</v>
      </c>
    </row>
    <row r="14" customFormat="false" ht="15" hidden="false" customHeight="false" outlineLevel="0" collapsed="false">
      <c r="A14" s="17" t="s">
        <v>118</v>
      </c>
      <c r="B14" s="11" t="s">
        <v>252</v>
      </c>
    </row>
    <row r="15" customFormat="false" ht="15" hidden="false" customHeight="false" outlineLevel="0" collapsed="false">
      <c r="A15" s="17" t="s">
        <v>119</v>
      </c>
      <c r="B15" s="11" t="s">
        <v>253</v>
      </c>
    </row>
    <row r="16" customFormat="false" ht="15" hidden="false" customHeight="false" outlineLevel="0" collapsed="false">
      <c r="A16" s="17" t="s">
        <v>23</v>
      </c>
      <c r="B16" s="11" t="s">
        <v>254</v>
      </c>
    </row>
    <row r="17" customFormat="false" ht="15" hidden="false" customHeight="false" outlineLevel="0" collapsed="false">
      <c r="A17" s="17" t="s">
        <v>24</v>
      </c>
      <c r="B17" s="11" t="s">
        <v>255</v>
      </c>
    </row>
    <row r="18" customFormat="false" ht="15" hidden="false" customHeight="false" outlineLevel="0" collapsed="false">
      <c r="A18" s="17" t="s">
        <v>120</v>
      </c>
      <c r="B18" s="11" t="s">
        <v>256</v>
      </c>
    </row>
    <row r="19" customFormat="false" ht="15" hidden="false" customHeight="false" outlineLevel="0" collapsed="false">
      <c r="A19" s="17" t="s">
        <v>121</v>
      </c>
      <c r="B19" s="11" t="s">
        <v>257</v>
      </c>
    </row>
    <row r="20" customFormat="false" ht="15" hidden="false" customHeight="false" outlineLevel="0" collapsed="false">
      <c r="A20" s="17" t="s">
        <v>25</v>
      </c>
      <c r="B20" s="11" t="s">
        <v>258</v>
      </c>
    </row>
    <row r="21" customFormat="false" ht="15" hidden="false" customHeight="false" outlineLevel="0" collapsed="false">
      <c r="A21" s="17" t="s">
        <v>122</v>
      </c>
      <c r="B21" s="11" t="s">
        <v>259</v>
      </c>
    </row>
    <row r="22" customFormat="false" ht="15" hidden="false" customHeight="false" outlineLevel="0" collapsed="false">
      <c r="A22" s="17" t="s">
        <v>26</v>
      </c>
      <c r="B22" s="11" t="s">
        <v>260</v>
      </c>
    </row>
    <row r="23" customFormat="false" ht="15" hidden="false" customHeight="false" outlineLevel="0" collapsed="false">
      <c r="A23" s="17" t="s">
        <v>27</v>
      </c>
      <c r="B23" s="11" t="s">
        <v>261</v>
      </c>
    </row>
    <row r="24" customFormat="false" ht="15" hidden="false" customHeight="false" outlineLevel="0" collapsed="false">
      <c r="A24" s="17" t="s">
        <v>28</v>
      </c>
      <c r="B24" s="11" t="s">
        <v>262</v>
      </c>
    </row>
    <row r="25" customFormat="false" ht="15" hidden="false" customHeight="false" outlineLevel="0" collapsed="false">
      <c r="A25" s="17" t="s">
        <v>29</v>
      </c>
      <c r="B25" s="11" t="s">
        <v>263</v>
      </c>
    </row>
    <row r="26" customFormat="false" ht="15" hidden="false" customHeight="false" outlineLevel="0" collapsed="false">
      <c r="A26" s="17" t="s">
        <v>264</v>
      </c>
      <c r="B26" s="11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266</v>
      </c>
    </row>
    <row r="2" customFormat="false" ht="15" hidden="false" customHeight="false" outlineLevel="0" collapsed="false">
      <c r="A2" s="0" t="s">
        <v>267</v>
      </c>
    </row>
    <row r="3" customFormat="false" ht="15" hidden="false" customHeight="false" outlineLevel="0" collapsed="false">
      <c r="A3" s="0" t="s">
        <v>268</v>
      </c>
    </row>
    <row r="4" customFormat="false" ht="15" hidden="false" customHeight="false" outlineLevel="0" collapsed="false">
      <c r="A4" s="0" t="s">
        <v>269</v>
      </c>
    </row>
    <row r="5" customFormat="false" ht="15" hidden="false" customHeight="false" outlineLevel="0" collapsed="false">
      <c r="A5" s="0" t="s">
        <v>270</v>
      </c>
    </row>
    <row r="6" customFormat="false" ht="15" hidden="false" customHeight="false" outlineLevel="0" collapsed="false">
      <c r="A6" s="0" t="s">
        <v>271</v>
      </c>
    </row>
    <row r="7" customFormat="false" ht="15" hidden="false" customHeight="false" outlineLevel="0" collapsed="false">
      <c r="A7" s="0" t="s">
        <v>272</v>
      </c>
    </row>
    <row r="8" customFormat="false" ht="15" hidden="false" customHeight="false" outlineLevel="0" collapsed="false">
      <c r="A8" s="0" t="s">
        <v>273</v>
      </c>
    </row>
    <row r="9" customFormat="false" ht="15" hidden="false" customHeight="false" outlineLevel="0" collapsed="false">
      <c r="A9" s="0" t="s">
        <v>274</v>
      </c>
    </row>
    <row r="10" customFormat="false" ht="15" hidden="false" customHeight="false" outlineLevel="0" collapsed="false">
      <c r="A10" s="0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2026-09-28T15:04:32Z</dcterms:created>
  <dc:creator>openpyxl</dc:creator>
  <dc:description/>
  <dc:language>en-US</dc:language>
  <cp:lastModifiedBy/>
  <dcterms:modified xsi:type="dcterms:W3CDTF">2026-09-28T16:32:37Z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